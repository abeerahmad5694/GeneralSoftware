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 activeTab="7"/>
  </bookViews>
  <sheets>
    <sheet name="Sheet1" sheetId="1" r:id="rId1"/>
    <sheet name="Sheet2" sheetId="2" r:id="rId2"/>
    <sheet name="Sheet4" sheetId="4" r:id="rId3"/>
    <sheet name="Sheet5" sheetId="5" r:id="rId4"/>
    <sheet name="Sheet3" sheetId="6" r:id="rId5"/>
    <sheet name="New Home" sheetId="7" r:id="rId6"/>
    <sheet name="Sheet6" sheetId="8" r:id="rId7"/>
    <sheet name="Client List" sheetId="9" r:id="rId8"/>
    <sheet name="Details" sheetId="10" r:id="rId9"/>
    <sheet name="VPS" sheetId="11" r:id="rId10"/>
  </sheets>
  <definedNames>
    <definedName name="_xlnm._FilterDatabase" localSheetId="1" hidden="1">Sheet2!$B$1:$I$37</definedName>
  </definedNames>
  <calcPr calcId="162913"/>
</workbook>
</file>

<file path=xl/calcChain.xml><?xml version="1.0" encoding="utf-8"?>
<calcChain xmlns="http://schemas.openxmlformats.org/spreadsheetml/2006/main">
  <c r="I47" i="9" l="1"/>
  <c r="H46" i="9"/>
  <c r="H47" i="9"/>
  <c r="D47" i="9"/>
  <c r="I1058" i="2" l="1"/>
  <c r="I1057" i="2"/>
  <c r="H1055" i="2"/>
  <c r="G1053" i="2"/>
  <c r="I1054" i="2" l="1"/>
  <c r="G1054" i="2"/>
  <c r="I1053" i="2" l="1"/>
  <c r="I1052" i="2" l="1"/>
  <c r="I1051" i="2" l="1"/>
  <c r="G1050" i="2"/>
  <c r="I1050" i="2" s="1"/>
  <c r="I1049" i="2" l="1"/>
  <c r="I1048" i="2" l="1"/>
  <c r="I1047" i="2"/>
  <c r="H22" i="9" l="1"/>
  <c r="H21" i="9"/>
  <c r="I1046" i="2" l="1"/>
  <c r="G983" i="2"/>
  <c r="H983" i="2"/>
  <c r="I1045" i="2" l="1"/>
  <c r="I1044" i="2"/>
  <c r="I1043" i="2" l="1"/>
  <c r="I1042" i="2" l="1"/>
  <c r="G1035" i="2" l="1"/>
  <c r="I1041" i="2" l="1"/>
  <c r="G1041" i="2"/>
  <c r="I1040" i="2" l="1"/>
  <c r="H1020" i="2" l="1"/>
  <c r="I1039" i="2"/>
  <c r="I32" i="9" l="1"/>
  <c r="H32" i="9"/>
  <c r="I1036" i="2"/>
  <c r="G1036" i="2"/>
  <c r="H1026" i="2" l="1"/>
  <c r="G1026" i="2"/>
  <c r="H982" i="2" l="1"/>
  <c r="I1035" i="2" l="1"/>
  <c r="I1034" i="2"/>
  <c r="I1033" i="2"/>
  <c r="I1032" i="2" l="1"/>
  <c r="I1031" i="2" l="1"/>
  <c r="I1030" i="2" l="1"/>
  <c r="I1029" i="2"/>
  <c r="G1029" i="2"/>
  <c r="G1028" i="2" l="1"/>
  <c r="I1028" i="2"/>
  <c r="H987" i="2"/>
  <c r="I1026" i="2" l="1"/>
  <c r="I1025" i="2"/>
  <c r="G1024" i="2"/>
  <c r="I1024" i="2" s="1"/>
  <c r="I1027" i="2" l="1"/>
  <c r="H30" i="9" l="1"/>
  <c r="G1022" i="2"/>
  <c r="I1023" i="2"/>
  <c r="I1022" i="2"/>
  <c r="H928" i="2" l="1"/>
  <c r="G1021" i="2" l="1"/>
  <c r="I1021" i="2"/>
  <c r="G1014" i="2" l="1"/>
  <c r="H41" i="9" l="1"/>
  <c r="I1020" i="2"/>
  <c r="G1020" i="2"/>
  <c r="H1004" i="2" l="1"/>
  <c r="I1019" i="2" l="1"/>
  <c r="H38" i="9" l="1"/>
  <c r="G1013" i="2"/>
  <c r="I1018" i="2" l="1"/>
  <c r="G1017" i="2" l="1"/>
  <c r="H1017" i="2"/>
  <c r="H1037" i="2" s="1"/>
  <c r="H42" i="9"/>
  <c r="I1016" i="2"/>
  <c r="I1015" i="2"/>
  <c r="I1014" i="2"/>
  <c r="I1017" i="2" l="1"/>
  <c r="I1013" i="2"/>
  <c r="I1012" i="2" l="1"/>
  <c r="I1011" i="2" l="1"/>
  <c r="I1010" i="2"/>
  <c r="I1007" i="2"/>
  <c r="I1006" i="2"/>
  <c r="H18" i="9" l="1"/>
  <c r="I1005" i="2" l="1"/>
  <c r="I1004" i="2" l="1"/>
  <c r="G1004" i="2"/>
  <c r="G1003" i="2" l="1"/>
  <c r="I1003" i="2" s="1"/>
  <c r="H1003" i="2"/>
  <c r="I1002" i="2" l="1"/>
  <c r="H989" i="2" l="1"/>
  <c r="I25" i="9" l="1"/>
  <c r="H25" i="9"/>
  <c r="I1001" i="2"/>
  <c r="H910" i="2" l="1"/>
  <c r="I1000" i="2" l="1"/>
  <c r="I999" i="2" l="1"/>
  <c r="H990" i="2"/>
  <c r="H996" i="2" l="1"/>
  <c r="G996" i="2" l="1"/>
  <c r="G998" i="2"/>
  <c r="I998" i="2" s="1"/>
  <c r="H997" i="2" l="1"/>
  <c r="I997" i="2" l="1"/>
  <c r="H1008" i="2"/>
  <c r="I996" i="2"/>
  <c r="L34" i="11"/>
  <c r="I995" i="2" l="1"/>
  <c r="I994" i="2" l="1"/>
  <c r="I991" i="2"/>
  <c r="H992" i="2"/>
  <c r="G991" i="2"/>
  <c r="I990" i="2" l="1"/>
  <c r="I989" i="2" l="1"/>
  <c r="G988" i="2" l="1"/>
  <c r="I988" i="2" s="1"/>
  <c r="G987" i="2"/>
  <c r="I987" i="2" s="1"/>
  <c r="G695" i="2" l="1"/>
  <c r="I695" i="2" s="1"/>
  <c r="I986" i="2"/>
  <c r="I985" i="2" l="1"/>
  <c r="I984" i="2" l="1"/>
  <c r="H45" i="9"/>
  <c r="G786" i="2" l="1"/>
  <c r="H958" i="2" l="1"/>
  <c r="I983" i="2" l="1"/>
  <c r="H897" i="2" l="1"/>
  <c r="I596" i="2" l="1"/>
  <c r="H40" i="9" l="1"/>
  <c r="H935" i="2"/>
  <c r="I979" i="2" l="1"/>
  <c r="I982" i="2" l="1"/>
  <c r="H927" i="2"/>
  <c r="H926" i="2"/>
  <c r="I978" i="2" l="1"/>
  <c r="G977" i="2" l="1"/>
  <c r="I977" i="2" s="1"/>
  <c r="H898" i="2" l="1"/>
  <c r="I976" i="2" l="1"/>
  <c r="H954" i="2" l="1"/>
  <c r="H953" i="2" l="1"/>
  <c r="I975" i="2" l="1"/>
  <c r="G933" i="2" l="1"/>
  <c r="I933" i="2" s="1"/>
  <c r="H974" i="2"/>
  <c r="I974" i="2" s="1"/>
  <c r="I973" i="2" l="1"/>
  <c r="H13" i="9" l="1"/>
  <c r="I12" i="9"/>
  <c r="H12" i="9"/>
  <c r="I972" i="2"/>
  <c r="G954" i="2"/>
  <c r="H960" i="2" l="1"/>
  <c r="I971" i="2" l="1"/>
  <c r="I970" i="2" l="1"/>
  <c r="I969" i="2" l="1"/>
  <c r="G968" i="2" l="1"/>
  <c r="I968" i="2" s="1"/>
  <c r="I967" i="2"/>
  <c r="I966" i="2"/>
  <c r="I965" i="2"/>
  <c r="H23" i="9" l="1"/>
  <c r="G964" i="2"/>
  <c r="I964" i="2" s="1"/>
  <c r="G949" i="2"/>
  <c r="H949" i="2"/>
  <c r="H980" i="2" s="1"/>
  <c r="I963" i="2"/>
  <c r="I962" i="2"/>
  <c r="I961" i="2"/>
  <c r="I960" i="2" l="1"/>
  <c r="I959" i="2"/>
  <c r="G958" i="2"/>
  <c r="I958" i="2" s="1"/>
  <c r="I957" i="2" l="1"/>
  <c r="I956" i="2"/>
  <c r="I955" i="2"/>
  <c r="I954" i="2"/>
  <c r="G953" i="2"/>
  <c r="I953" i="2" s="1"/>
  <c r="I952" i="2"/>
  <c r="I951" i="2"/>
  <c r="I950" i="2"/>
  <c r="I949" i="2"/>
  <c r="I948" i="2"/>
  <c r="I947" i="2"/>
  <c r="I946" i="2"/>
  <c r="I945" i="2"/>
  <c r="G944" i="2"/>
  <c r="I944" i="2" s="1"/>
  <c r="M78" i="10"/>
  <c r="I943" i="2"/>
  <c r="I942" i="2"/>
  <c r="I937" i="2"/>
  <c r="I936" i="2"/>
  <c r="I935" i="2"/>
  <c r="I934" i="2" l="1"/>
  <c r="G932" i="2" l="1"/>
  <c r="I932" i="2" s="1"/>
  <c r="G931" i="2" l="1"/>
  <c r="I931" i="2" s="1"/>
  <c r="I930" i="2" l="1"/>
  <c r="I929" i="2"/>
  <c r="I928" i="2"/>
  <c r="G927" i="2"/>
  <c r="I927" i="2" s="1"/>
  <c r="I926" i="2"/>
  <c r="I925" i="2" l="1"/>
  <c r="I924" i="2"/>
  <c r="I923" i="2" l="1"/>
  <c r="G694" i="2"/>
  <c r="I922" i="2"/>
  <c r="G921" i="2"/>
  <c r="I921" i="2" s="1"/>
  <c r="G911" i="2" l="1"/>
  <c r="I911" i="2" s="1"/>
  <c r="I920" i="2"/>
  <c r="G919" i="2" l="1"/>
  <c r="I919" i="2" s="1"/>
  <c r="I918" i="2" l="1"/>
  <c r="I917" i="2" l="1"/>
  <c r="I916" i="2"/>
  <c r="G915" i="2" l="1"/>
  <c r="I915" i="2" s="1"/>
  <c r="H912" i="2" l="1"/>
  <c r="I694" i="2" l="1"/>
  <c r="G914" i="2" l="1"/>
  <c r="I914" i="2"/>
  <c r="M52" i="10" l="1"/>
  <c r="M51" i="10"/>
  <c r="M53" i="10" s="1"/>
  <c r="G913" i="2" l="1"/>
  <c r="I913" i="2" s="1"/>
  <c r="I912" i="2" l="1"/>
  <c r="G899" i="2"/>
  <c r="I910" i="2"/>
  <c r="G693" i="2"/>
  <c r="I693" i="2" s="1"/>
  <c r="G692" i="2"/>
  <c r="H417" i="2" l="1"/>
  <c r="H906" i="2" l="1"/>
  <c r="H938" i="2" s="1"/>
  <c r="G909" i="2" l="1"/>
  <c r="I909" i="2" s="1"/>
  <c r="I908" i="2" l="1"/>
  <c r="H692" i="2" l="1"/>
  <c r="H36" i="9" l="1"/>
  <c r="G907" i="2"/>
  <c r="I907" i="2" s="1"/>
  <c r="G906" i="2" l="1"/>
  <c r="I906" i="2" s="1"/>
  <c r="G905" i="2" l="1"/>
  <c r="I905" i="2" s="1"/>
  <c r="H899" i="2" l="1"/>
  <c r="H903" i="2" s="1"/>
  <c r="I692" i="2" l="1"/>
  <c r="G901" i="2" l="1"/>
  <c r="I901" i="2" s="1"/>
  <c r="G902" i="2"/>
  <c r="I902" i="2" s="1"/>
  <c r="I900" i="2" l="1"/>
  <c r="I899" i="2" l="1"/>
  <c r="G690" i="2" l="1"/>
  <c r="G691" i="2"/>
  <c r="I691" i="2" s="1"/>
  <c r="G898" i="2" l="1"/>
  <c r="I898" i="2" s="1"/>
  <c r="D81" i="4" l="1"/>
  <c r="I690" i="2" l="1"/>
  <c r="I689" i="2"/>
  <c r="G418" i="2"/>
  <c r="I418" i="2" s="1"/>
  <c r="H44" i="9" l="1"/>
  <c r="G897" i="2" l="1"/>
  <c r="I897" i="2" s="1"/>
  <c r="I896" i="2"/>
  <c r="G895" i="2" l="1"/>
  <c r="I895" i="2" s="1"/>
  <c r="H887" i="2" l="1"/>
  <c r="H832" i="2"/>
  <c r="G511" i="2"/>
  <c r="I417" i="2"/>
  <c r="I890" i="2" l="1"/>
  <c r="G894" i="2"/>
  <c r="I894" i="2" s="1"/>
  <c r="I893" i="2"/>
  <c r="G832" i="2" l="1"/>
  <c r="I889" i="2" l="1"/>
  <c r="H880" i="2" l="1"/>
  <c r="H888" i="2" l="1"/>
  <c r="G688" i="2" l="1"/>
  <c r="I688" i="2" s="1"/>
  <c r="H685" i="2" l="1"/>
  <c r="G686" i="2" l="1"/>
  <c r="G687" i="2"/>
  <c r="I687" i="2" s="1"/>
  <c r="G888" i="2" l="1"/>
  <c r="I888" i="2" s="1"/>
  <c r="H881" i="2" l="1"/>
  <c r="H891" i="2" s="1"/>
  <c r="G887" i="2" l="1"/>
  <c r="I887" i="2" s="1"/>
  <c r="H43" i="9"/>
  <c r="I886" i="2" l="1"/>
  <c r="I885" i="2" l="1"/>
  <c r="I883" i="2" l="1"/>
  <c r="G884" i="2"/>
  <c r="I884" i="2" s="1"/>
  <c r="I37" i="9" l="1"/>
  <c r="H37" i="9"/>
  <c r="H870" i="2" l="1"/>
  <c r="G870" i="2"/>
  <c r="G881" i="2" l="1"/>
  <c r="I882" i="2"/>
  <c r="I39" i="9" l="1"/>
  <c r="H39" i="9"/>
  <c r="I881" i="2" l="1"/>
  <c r="G685" i="2" l="1"/>
  <c r="I880" i="2"/>
  <c r="I879" i="2" l="1"/>
  <c r="I686" i="2"/>
  <c r="I685" i="2"/>
  <c r="H858" i="2"/>
  <c r="I876" i="2" l="1"/>
  <c r="I875" i="2" l="1"/>
  <c r="I874" i="2"/>
  <c r="I873" i="2"/>
  <c r="H866" i="2" l="1"/>
  <c r="G866" i="2"/>
  <c r="H872" i="2" l="1"/>
  <c r="I872" i="2" s="1"/>
  <c r="I871" i="2"/>
  <c r="I870" i="2"/>
  <c r="H877" i="2" l="1"/>
  <c r="G869" i="2"/>
  <c r="I869" i="2" s="1"/>
  <c r="H781" i="2" l="1"/>
  <c r="I868" i="2" l="1"/>
  <c r="I19" i="9" l="1"/>
  <c r="H19" i="9"/>
  <c r="H675" i="2" l="1"/>
  <c r="H800" i="2" l="1"/>
  <c r="H860" i="2" l="1"/>
  <c r="H834" i="2" l="1"/>
  <c r="G855" i="2" l="1"/>
  <c r="I855" i="2" s="1"/>
  <c r="G854" i="2"/>
  <c r="I854" i="2" s="1"/>
  <c r="I857" i="2"/>
  <c r="I867" i="2" l="1"/>
  <c r="I416" i="2" l="1"/>
  <c r="I866" i="2" l="1"/>
  <c r="I865" i="2" l="1"/>
  <c r="G864" i="2"/>
  <c r="I864" i="2" s="1"/>
  <c r="H863" i="2"/>
  <c r="I862" i="2"/>
  <c r="I861" i="2" l="1"/>
  <c r="G684" i="2" l="1"/>
  <c r="I684" i="2" s="1"/>
  <c r="G683" i="2"/>
  <c r="I683" i="2" s="1"/>
  <c r="G860" i="2"/>
  <c r="I860" i="2" s="1"/>
  <c r="I859" i="2"/>
  <c r="I858" i="2"/>
  <c r="H848" i="2" l="1"/>
  <c r="H851" i="2"/>
  <c r="H809" i="2"/>
  <c r="H837" i="2" l="1"/>
  <c r="H838" i="2"/>
  <c r="H817" i="2" l="1"/>
  <c r="I852" i="2" l="1"/>
  <c r="H843" i="2"/>
  <c r="G851" i="2" l="1"/>
  <c r="I851" i="2" s="1"/>
  <c r="H850" i="2" l="1"/>
  <c r="H856" i="2" s="1"/>
  <c r="G850" i="2"/>
  <c r="I850" i="2" s="1"/>
  <c r="G682" i="2" l="1"/>
  <c r="I682" i="2" s="1"/>
  <c r="G681" i="2" l="1"/>
  <c r="I681" i="2" s="1"/>
  <c r="I849" i="2" l="1"/>
  <c r="G848" i="2" l="1"/>
  <c r="I848" i="2" s="1"/>
  <c r="H753" i="2" l="1"/>
  <c r="G847" i="2" l="1"/>
  <c r="I847" i="2" s="1"/>
  <c r="I415" i="2" l="1"/>
  <c r="I846" i="2" l="1"/>
  <c r="I845" i="2" l="1"/>
  <c r="I844" i="2" l="1"/>
  <c r="I843" i="2"/>
  <c r="H840" i="2" l="1"/>
  <c r="I839" i="2"/>
  <c r="M77" i="10" l="1"/>
  <c r="M80" i="10" s="1"/>
  <c r="I842" i="2"/>
  <c r="G838" i="2"/>
  <c r="I838" i="2" s="1"/>
  <c r="G837" i="2"/>
  <c r="I837" i="2" s="1"/>
  <c r="G680" i="2"/>
  <c r="I680" i="2" l="1"/>
  <c r="I836" i="2" l="1"/>
  <c r="G621" i="2" l="1"/>
  <c r="I621" i="2" s="1"/>
  <c r="M75" i="10"/>
  <c r="I835" i="2"/>
  <c r="G700" i="2" l="1"/>
  <c r="H700" i="2"/>
  <c r="I833" i="2" l="1"/>
  <c r="I825" i="2"/>
  <c r="G824" i="2" l="1"/>
  <c r="H824" i="2"/>
  <c r="H828" i="2" s="1"/>
  <c r="H669" i="2"/>
  <c r="G834" i="2" l="1"/>
  <c r="I834" i="2" s="1"/>
  <c r="I831" i="2" l="1"/>
  <c r="I832" i="2"/>
  <c r="G817" i="2" l="1"/>
  <c r="G414" i="2"/>
  <c r="I830" i="2"/>
  <c r="G827" i="2" l="1"/>
  <c r="I827" i="2" s="1"/>
  <c r="G826" i="2"/>
  <c r="I826" i="2" s="1"/>
  <c r="H511" i="2"/>
  <c r="L20" i="11"/>
  <c r="M48" i="10"/>
  <c r="H804" i="2"/>
  <c r="H820" i="2"/>
  <c r="H821" i="2" s="1"/>
  <c r="I824" i="2"/>
  <c r="H678" i="2"/>
  <c r="G679" i="2"/>
  <c r="I679" i="2" s="1"/>
  <c r="G675" i="2"/>
  <c r="H789" i="2"/>
  <c r="I414" i="2"/>
  <c r="I819" i="2"/>
  <c r="G820" i="2"/>
  <c r="M43" i="10"/>
  <c r="L18" i="11"/>
  <c r="G818" i="2"/>
  <c r="I818" i="2" s="1"/>
  <c r="I787" i="2"/>
  <c r="I817" i="2"/>
  <c r="I816" i="2"/>
  <c r="I815" i="2"/>
  <c r="G792" i="2"/>
  <c r="I792" i="2" s="1"/>
  <c r="G793" i="2"/>
  <c r="I793" i="2" s="1"/>
  <c r="G814" i="2"/>
  <c r="I814" i="2" s="1"/>
  <c r="H784" i="2"/>
  <c r="L17" i="11"/>
  <c r="I675" i="2" l="1"/>
  <c r="I820" i="2"/>
  <c r="M73" i="10"/>
  <c r="H677" i="2"/>
  <c r="H620" i="2"/>
  <c r="H619" i="2"/>
  <c r="I813" i="2"/>
  <c r="G678" i="2"/>
  <c r="G677" i="2"/>
  <c r="I812" i="2"/>
  <c r="G811" i="2"/>
  <c r="I811" i="2" s="1"/>
  <c r="G810" i="2"/>
  <c r="I810" i="2" s="1"/>
  <c r="G802" i="2"/>
  <c r="H802" i="2"/>
  <c r="G676" i="2"/>
  <c r="I676" i="2" s="1"/>
  <c r="G809" i="2"/>
  <c r="I809" i="2" s="1"/>
  <c r="I806" i="2"/>
  <c r="I413" i="2"/>
  <c r="L13" i="11"/>
  <c r="L15" i="11" s="1"/>
  <c r="L11" i="11"/>
  <c r="I805" i="2"/>
  <c r="I804" i="2"/>
  <c r="H803" i="2"/>
  <c r="G803" i="2"/>
  <c r="M45" i="10"/>
  <c r="H656" i="2"/>
  <c r="G801" i="2"/>
  <c r="I801" i="2" s="1"/>
  <c r="G800" i="2"/>
  <c r="I800" i="2" s="1"/>
  <c r="H786" i="2"/>
  <c r="H772" i="2"/>
  <c r="G797" i="2"/>
  <c r="I797" i="2" s="1"/>
  <c r="I796" i="2"/>
  <c r="I795" i="2"/>
  <c r="I794" i="2"/>
  <c r="H704" i="2"/>
  <c r="G791" i="2"/>
  <c r="I791" i="2" s="1"/>
  <c r="G790" i="2"/>
  <c r="I790" i="2" s="1"/>
  <c r="I788" i="2"/>
  <c r="G789" i="2"/>
  <c r="I789" i="2" s="1"/>
  <c r="G785" i="2"/>
  <c r="I785" i="2" s="1"/>
  <c r="H758" i="2"/>
  <c r="G782" i="2"/>
  <c r="G784" i="2"/>
  <c r="E16" i="11"/>
  <c r="H732" i="2"/>
  <c r="H780" i="2"/>
  <c r="I783" i="2"/>
  <c r="H807" i="2" l="1"/>
  <c r="I678" i="2"/>
  <c r="I677" i="2"/>
  <c r="I802" i="2"/>
  <c r="H798" i="2"/>
  <c r="I786" i="2"/>
  <c r="I784" i="2"/>
  <c r="I780" i="2"/>
  <c r="I782" i="2"/>
  <c r="G674" i="2"/>
  <c r="G781" i="2"/>
  <c r="I781" i="2" s="1"/>
  <c r="H715" i="2"/>
  <c r="I777" i="2" l="1"/>
  <c r="H778" i="2"/>
  <c r="H940" i="2" s="1"/>
  <c r="E67" i="6"/>
  <c r="E66" i="6"/>
  <c r="E68" i="6" s="1"/>
  <c r="E63" i="6"/>
  <c r="E62" i="6"/>
  <c r="E61" i="6"/>
  <c r="E60" i="6"/>
  <c r="E64" i="6" s="1"/>
  <c r="M67" i="10" l="1"/>
  <c r="I776" i="2"/>
  <c r="I775" i="2"/>
  <c r="G739" i="2"/>
  <c r="I739" i="2" s="1"/>
  <c r="H731" i="2"/>
  <c r="I731" i="2" s="1"/>
  <c r="I412" i="2"/>
  <c r="M39" i="10"/>
  <c r="M41" i="10" s="1"/>
  <c r="I774" i="2"/>
  <c r="I773" i="2"/>
  <c r="M35" i="10"/>
  <c r="G668" i="2"/>
  <c r="H668" i="2"/>
  <c r="G745" i="2"/>
  <c r="I745" i="2" s="1"/>
  <c r="H743" i="2"/>
  <c r="G743" i="2"/>
  <c r="G744" i="2"/>
  <c r="I744" i="2" s="1"/>
  <c r="G772" i="2"/>
  <c r="I772" i="2" s="1"/>
  <c r="I771" i="2"/>
  <c r="I770" i="2"/>
  <c r="I769" i="2"/>
  <c r="I768" i="2"/>
  <c r="I767" i="2"/>
  <c r="I766" i="2"/>
  <c r="G750" i="2"/>
  <c r="I750" i="2" s="1"/>
  <c r="G720" i="2"/>
  <c r="H720" i="2"/>
  <c r="I765" i="2"/>
  <c r="I764" i="2"/>
  <c r="G758" i="2"/>
  <c r="I758" i="2" s="1"/>
  <c r="I763" i="2"/>
  <c r="I762" i="2"/>
  <c r="I761" i="2"/>
  <c r="I760" i="2"/>
  <c r="I759" i="2"/>
  <c r="I757" i="2"/>
  <c r="H709" i="2"/>
  <c r="I756" i="2"/>
  <c r="I755" i="2"/>
  <c r="I754" i="2"/>
  <c r="G753" i="2"/>
  <c r="I753" i="2" s="1"/>
  <c r="I752" i="2"/>
  <c r="I751" i="2"/>
  <c r="G749" i="2"/>
  <c r="I749" i="2" s="1"/>
  <c r="G620" i="2"/>
  <c r="I620" i="2" s="1"/>
  <c r="I748" i="2"/>
  <c r="I742" i="2"/>
  <c r="I741" i="2"/>
  <c r="I740" i="2"/>
  <c r="I738" i="2"/>
  <c r="H710" i="2"/>
  <c r="T22" i="10"/>
  <c r="T21" i="10"/>
  <c r="T23" i="10" s="1"/>
  <c r="I737" i="2"/>
  <c r="I736" i="2"/>
  <c r="G735" i="2"/>
  <c r="I735" i="2" s="1"/>
  <c r="I734" i="2"/>
  <c r="G733" i="2"/>
  <c r="I733" i="2" s="1"/>
  <c r="I732" i="2"/>
  <c r="I730" i="2"/>
  <c r="G542" i="2"/>
  <c r="I728" i="2"/>
  <c r="I729" i="2"/>
  <c r="G481" i="2"/>
  <c r="I727" i="2"/>
  <c r="I726" i="2"/>
  <c r="G725" i="2"/>
  <c r="I725" i="2" s="1"/>
  <c r="G724" i="2"/>
  <c r="I724" i="2" s="1"/>
  <c r="I723" i="2"/>
  <c r="I722" i="2"/>
  <c r="G721" i="2"/>
  <c r="I721" i="2" s="1"/>
  <c r="G718" i="2"/>
  <c r="I718" i="2" s="1"/>
  <c r="H551" i="2"/>
  <c r="I743" i="2" l="1"/>
  <c r="I720" i="2"/>
  <c r="M69" i="10"/>
  <c r="M71" i="10" s="1"/>
  <c r="G619" i="2"/>
  <c r="I717" i="2" l="1"/>
  <c r="I716" i="2"/>
  <c r="G715" i="2"/>
  <c r="I715" i="2" s="1"/>
  <c r="H714" i="2"/>
  <c r="H746" i="2" s="1"/>
  <c r="G708" i="2"/>
  <c r="I708" i="2" s="1"/>
  <c r="H705" i="2"/>
  <c r="I705" i="2" s="1"/>
  <c r="I713" i="2"/>
  <c r="G714" i="2"/>
  <c r="G712" i="2"/>
  <c r="I712" i="2" s="1"/>
  <c r="I711" i="2"/>
  <c r="G710" i="2"/>
  <c r="I710" i="2" s="1"/>
  <c r="G709" i="2"/>
  <c r="E19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17" i="11" l="1"/>
  <c r="I709" i="2"/>
  <c r="I714" i="2"/>
  <c r="H706" i="2"/>
  <c r="H655" i="2"/>
  <c r="G704" i="2"/>
  <c r="I704" i="2" s="1"/>
  <c r="H665" i="2" l="1"/>
  <c r="H697" i="2" s="1"/>
  <c r="I26" i="9"/>
  <c r="H26" i="9"/>
  <c r="G703" i="2"/>
  <c r="I703" i="2" s="1"/>
  <c r="I702" i="2"/>
  <c r="I701" i="2"/>
  <c r="I700" i="2"/>
  <c r="I699" i="2"/>
  <c r="I696" i="2"/>
  <c r="I674" i="2"/>
  <c r="I673" i="2"/>
  <c r="G636" i="2"/>
  <c r="H636" i="2"/>
  <c r="I672" i="2"/>
  <c r="I671" i="2"/>
  <c r="G669" i="2"/>
  <c r="I670" i="2"/>
  <c r="I642" i="2"/>
  <c r="H637" i="2"/>
  <c r="I667" i="2"/>
  <c r="I669" i="2" l="1"/>
  <c r="I668" i="2"/>
  <c r="H657" i="2"/>
  <c r="H647" i="2"/>
  <c r="G655" i="2"/>
  <c r="I666" i="2"/>
  <c r="I665" i="2"/>
  <c r="I664" i="2"/>
  <c r="I658" i="2"/>
  <c r="I663" i="2"/>
  <c r="I660" i="2"/>
  <c r="G659" i="2"/>
  <c r="I659" i="2" s="1"/>
  <c r="G657" i="2"/>
  <c r="G656" i="2"/>
  <c r="I656" i="2" s="1"/>
  <c r="I411" i="2"/>
  <c r="I653" i="2"/>
  <c r="H631" i="2"/>
  <c r="I655" i="2" l="1"/>
  <c r="I657" i="2"/>
  <c r="H651" i="2"/>
  <c r="H661" i="2" s="1"/>
  <c r="I645" i="2"/>
  <c r="I652" i="2"/>
  <c r="G651" i="2"/>
  <c r="I650" i="2"/>
  <c r="H638" i="2"/>
  <c r="G638" i="2"/>
  <c r="G640" i="2"/>
  <c r="H640" i="2"/>
  <c r="G647" i="2"/>
  <c r="I647" i="2" s="1"/>
  <c r="I646" i="2"/>
  <c r="H24" i="9"/>
  <c r="I644" i="2"/>
  <c r="G410" i="2"/>
  <c r="I410" i="2" s="1"/>
  <c r="H593" i="2"/>
  <c r="H626" i="2"/>
  <c r="I626" i="2" s="1"/>
  <c r="I641" i="2"/>
  <c r="I636" i="2"/>
  <c r="G639" i="2"/>
  <c r="I639" i="2" s="1"/>
  <c r="H17" i="9"/>
  <c r="G637" i="2"/>
  <c r="I637" i="2" s="1"/>
  <c r="I635" i="2"/>
  <c r="I634" i="2"/>
  <c r="G631" i="2"/>
  <c r="P4" i="10"/>
  <c r="P12" i="10"/>
  <c r="P11" i="10"/>
  <c r="P8" i="10"/>
  <c r="P7" i="10"/>
  <c r="H568" i="2"/>
  <c r="G633" i="2"/>
  <c r="I633" i="2" s="1"/>
  <c r="G632" i="2"/>
  <c r="I632" i="2" s="1"/>
  <c r="G630" i="2"/>
  <c r="I630" i="2" s="1"/>
  <c r="I629" i="2"/>
  <c r="I625" i="2"/>
  <c r="I623" i="2"/>
  <c r="H622" i="2"/>
  <c r="I622" i="2" s="1"/>
  <c r="H450" i="2"/>
  <c r="H592" i="2"/>
  <c r="G624" i="2"/>
  <c r="I624" i="2" s="1"/>
  <c r="H608" i="2"/>
  <c r="G608" i="2"/>
  <c r="I618" i="2"/>
  <c r="I617" i="2"/>
  <c r="I616" i="2"/>
  <c r="I615" i="2"/>
  <c r="D25" i="10"/>
  <c r="C10" i="10"/>
  <c r="C3" i="10"/>
  <c r="C25" i="10" s="1"/>
  <c r="E25" i="10" s="1"/>
  <c r="H648" i="2" l="1"/>
  <c r="H627" i="2"/>
  <c r="I651" i="2"/>
  <c r="I638" i="2"/>
  <c r="I640" i="2"/>
  <c r="I631" i="2"/>
  <c r="P13" i="10"/>
  <c r="I619" i="2"/>
  <c r="I611" i="2"/>
  <c r="I614" i="2"/>
  <c r="I609" i="2"/>
  <c r="I608" i="2"/>
  <c r="H612" i="2"/>
  <c r="G592" i="2"/>
  <c r="I607" i="2"/>
  <c r="I606" i="2"/>
  <c r="H582" i="2"/>
  <c r="I582" i="2" s="1"/>
  <c r="I605" i="2"/>
  <c r="I604" i="2"/>
  <c r="I603" i="2"/>
  <c r="I602" i="2"/>
  <c r="I601" i="2"/>
  <c r="G599" i="2"/>
  <c r="I599" i="2" s="1"/>
  <c r="I600" i="2"/>
  <c r="I598" i="2"/>
  <c r="I595" i="2"/>
  <c r="I594" i="2"/>
  <c r="I593" i="2"/>
  <c r="I591" i="2"/>
  <c r="I590" i="2"/>
  <c r="G589" i="2"/>
  <c r="I589" i="2" s="1"/>
  <c r="I587" i="2"/>
  <c r="I588" i="2"/>
  <c r="G584" i="2"/>
  <c r="I584" i="2" s="1"/>
  <c r="G583" i="2"/>
  <c r="I583" i="2" s="1"/>
  <c r="I581" i="2"/>
  <c r="H576" i="2"/>
  <c r="H338" i="2"/>
  <c r="G338" i="2"/>
  <c r="H409" i="2"/>
  <c r="G562" i="2"/>
  <c r="I562" i="2" s="1"/>
  <c r="G580" i="2"/>
  <c r="I580" i="2" s="1"/>
  <c r="H577" i="2"/>
  <c r="G577" i="2"/>
  <c r="G576" i="2"/>
  <c r="G579" i="2"/>
  <c r="I579" i="2" s="1"/>
  <c r="G578" i="2"/>
  <c r="I578" i="2" s="1"/>
  <c r="H574" i="2"/>
  <c r="G573" i="2"/>
  <c r="I573" i="2" s="1"/>
  <c r="I568" i="2"/>
  <c r="G572" i="2"/>
  <c r="I572" i="2" s="1"/>
  <c r="H554" i="2"/>
  <c r="H390" i="2"/>
  <c r="I571" i="2"/>
  <c r="I570" i="2"/>
  <c r="I565" i="2"/>
  <c r="I569" i="2"/>
  <c r="I566" i="2"/>
  <c r="I567" i="2"/>
  <c r="H541" i="2"/>
  <c r="G541" i="2"/>
  <c r="H559" i="2"/>
  <c r="H547" i="2"/>
  <c r="H527" i="2"/>
  <c r="G559" i="2"/>
  <c r="G561" i="2"/>
  <c r="I561" i="2" s="1"/>
  <c r="G547" i="2"/>
  <c r="H560" i="2"/>
  <c r="I560" i="2" s="1"/>
  <c r="I556" i="2"/>
  <c r="I555" i="2"/>
  <c r="G558" i="2"/>
  <c r="I558" i="2" s="1"/>
  <c r="G557" i="2"/>
  <c r="I557" i="2" s="1"/>
  <c r="G520" i="2"/>
  <c r="G554" i="2"/>
  <c r="G553" i="2"/>
  <c r="I553" i="2" s="1"/>
  <c r="G552" i="2"/>
  <c r="I552" i="2" s="1"/>
  <c r="I550" i="2"/>
  <c r="G551" i="2"/>
  <c r="H549" i="2"/>
  <c r="G549" i="2"/>
  <c r="I548" i="2"/>
  <c r="G546" i="2"/>
  <c r="I546" i="2" s="1"/>
  <c r="G545" i="2"/>
  <c r="I545" i="2" s="1"/>
  <c r="G544" i="2"/>
  <c r="I544" i="2" s="1"/>
  <c r="G543" i="2"/>
  <c r="I543" i="2" s="1"/>
  <c r="I537" i="2"/>
  <c r="I536" i="2"/>
  <c r="I542" i="2"/>
  <c r="H585" i="2" l="1"/>
  <c r="I554" i="2"/>
  <c r="I592" i="2"/>
  <c r="I559" i="2"/>
  <c r="I577" i="2"/>
  <c r="I551" i="2"/>
  <c r="I576" i="2"/>
  <c r="I541" i="2"/>
  <c r="H563" i="2"/>
  <c r="I549" i="2"/>
  <c r="I547" i="2"/>
  <c r="G540" i="2"/>
  <c r="I540" i="2" s="1"/>
  <c r="G539" i="2"/>
  <c r="I539" i="2" s="1"/>
  <c r="G538" i="2"/>
  <c r="I538" i="2" s="1"/>
  <c r="H446" i="2"/>
  <c r="G446" i="2"/>
  <c r="I531" i="2"/>
  <c r="I529" i="2"/>
  <c r="I528" i="2"/>
  <c r="I526" i="2"/>
  <c r="I524" i="2"/>
  <c r="I533" i="2"/>
  <c r="G532" i="2"/>
  <c r="I532" i="2" s="1"/>
  <c r="H506" i="2"/>
  <c r="H459" i="2"/>
  <c r="H530" i="2"/>
  <c r="I530" i="2" s="1"/>
  <c r="H505" i="2"/>
  <c r="G527" i="2"/>
  <c r="I527" i="2" s="1"/>
  <c r="H525" i="2"/>
  <c r="G525" i="2"/>
  <c r="B13" i="8"/>
  <c r="H510" i="2"/>
  <c r="G510" i="2"/>
  <c r="G515" i="2"/>
  <c r="I519" i="2"/>
  <c r="I518" i="2"/>
  <c r="I517" i="2"/>
  <c r="I516" i="2"/>
  <c r="I514" i="2"/>
  <c r="I513" i="2"/>
  <c r="I512" i="2"/>
  <c r="I511" i="2"/>
  <c r="I508" i="2"/>
  <c r="I504" i="2"/>
  <c r="I503" i="2"/>
  <c r="I502" i="2"/>
  <c r="I501" i="2"/>
  <c r="I500" i="2"/>
  <c r="I498" i="2"/>
  <c r="I497" i="2"/>
  <c r="I496" i="2"/>
  <c r="I495" i="2"/>
  <c r="I494" i="2"/>
  <c r="I493" i="2"/>
  <c r="I492" i="2"/>
  <c r="I489" i="2"/>
  <c r="I488" i="2"/>
  <c r="G506" i="2"/>
  <c r="I520" i="2"/>
  <c r="G509" i="2"/>
  <c r="I509" i="2" s="1"/>
  <c r="H438" i="2"/>
  <c r="H443" i="2"/>
  <c r="H515" i="2"/>
  <c r="H490" i="2"/>
  <c r="I490" i="2" s="1"/>
  <c r="G507" i="2"/>
  <c r="I507" i="2" s="1"/>
  <c r="G505" i="2"/>
  <c r="G499" i="2"/>
  <c r="I499" i="2" s="1"/>
  <c r="I505" i="2" l="1"/>
  <c r="I510" i="2"/>
  <c r="I515" i="2"/>
  <c r="I525" i="2"/>
  <c r="H534" i="2"/>
  <c r="H747" i="2" s="1"/>
  <c r="H522" i="2"/>
  <c r="I506" i="2"/>
  <c r="G491" i="2"/>
  <c r="I491" i="2" s="1"/>
  <c r="I476" i="2"/>
  <c r="I475" i="2"/>
  <c r="I473" i="2"/>
  <c r="I472" i="2"/>
  <c r="I470" i="2"/>
  <c r="I465" i="2"/>
  <c r="I462" i="2"/>
  <c r="I461" i="2"/>
  <c r="I459" i="2"/>
  <c r="G480" i="2"/>
  <c r="I480" i="2" s="1"/>
  <c r="G460" i="2"/>
  <c r="I460" i="2" s="1"/>
  <c r="G474" i="2"/>
  <c r="I474" i="2" s="1"/>
  <c r="G471" i="2"/>
  <c r="H471" i="2"/>
  <c r="G469" i="2"/>
  <c r="I469" i="2" s="1"/>
  <c r="G468" i="2"/>
  <c r="I468" i="2" s="1"/>
  <c r="G467" i="2"/>
  <c r="I467" i="2" s="1"/>
  <c r="G466" i="2"/>
  <c r="I466" i="2" s="1"/>
  <c r="G464" i="2"/>
  <c r="I464" i="2" s="1"/>
  <c r="G463" i="2"/>
  <c r="I463" i="2" s="1"/>
  <c r="H457" i="2"/>
  <c r="I456" i="2"/>
  <c r="I454" i="2"/>
  <c r="G455" i="2"/>
  <c r="I455" i="2" s="1"/>
  <c r="H421" i="2"/>
  <c r="I421" i="2" s="1"/>
  <c r="H453" i="2"/>
  <c r="I453" i="2" s="1"/>
  <c r="H386" i="2"/>
  <c r="G450" i="2"/>
  <c r="G438" i="2"/>
  <c r="I438" i="2" s="1"/>
  <c r="H449" i="2"/>
  <c r="H448" i="2"/>
  <c r="H445" i="2"/>
  <c r="H353" i="2"/>
  <c r="G443" i="2"/>
  <c r="I443" i="2" s="1"/>
  <c r="H366" i="2"/>
  <c r="G366" i="2"/>
  <c r="H433" i="2"/>
  <c r="G433" i="2"/>
  <c r="H427" i="2"/>
  <c r="H407" i="2"/>
  <c r="H398" i="2"/>
  <c r="I430" i="2"/>
  <c r="G423" i="2"/>
  <c r="H423" i="2"/>
  <c r="H422" i="2"/>
  <c r="I422" i="2" s="1"/>
  <c r="G407" i="2"/>
  <c r="I420" i="2"/>
  <c r="H139" i="2"/>
  <c r="I419" i="2"/>
  <c r="I408" i="2"/>
  <c r="I409" i="2"/>
  <c r="G387" i="2"/>
  <c r="H362" i="2"/>
  <c r="G362" i="2"/>
  <c r="H397" i="2"/>
  <c r="H388" i="2"/>
  <c r="G399" i="2"/>
  <c r="I399" i="2" s="1"/>
  <c r="G397" i="2"/>
  <c r="H396" i="2"/>
  <c r="I396" i="2" s="1"/>
  <c r="H375" i="2"/>
  <c r="I395" i="2"/>
  <c r="G386" i="2"/>
  <c r="G390" i="2"/>
  <c r="I423" i="2" l="1"/>
  <c r="H485" i="2"/>
  <c r="H435" i="2"/>
  <c r="I390" i="2"/>
  <c r="I471" i="2"/>
  <c r="I450" i="2"/>
  <c r="H424" i="2"/>
  <c r="H451" i="2"/>
  <c r="H405" i="2"/>
  <c r="I397" i="2"/>
  <c r="I446" i="2"/>
  <c r="I398" i="2"/>
  <c r="I407" i="2"/>
  <c r="H363" i="2"/>
  <c r="I386" i="2"/>
  <c r="G389" i="2"/>
  <c r="I389" i="2" s="1"/>
  <c r="I387" i="2"/>
  <c r="I385" i="2"/>
  <c r="I366" i="2" l="1"/>
  <c r="G384" i="2"/>
  <c r="I384" i="2" s="1"/>
  <c r="I383" i="2"/>
  <c r="I382" i="2"/>
  <c r="I381" i="2"/>
  <c r="I380" i="2"/>
  <c r="I379" i="2"/>
  <c r="I377" i="2"/>
  <c r="H378" i="2"/>
  <c r="H391" i="2" s="1"/>
  <c r="G378" i="2"/>
  <c r="I371" i="2"/>
  <c r="I370" i="2"/>
  <c r="I369" i="2"/>
  <c r="H360" i="2"/>
  <c r="I360" i="2" s="1"/>
  <c r="H349" i="2"/>
  <c r="G349" i="2"/>
  <c r="I365" i="2"/>
  <c r="H361" i="2"/>
  <c r="I363" i="2"/>
  <c r="I362" i="2"/>
  <c r="H356" i="2"/>
  <c r="I356" i="2" s="1"/>
  <c r="H276" i="2"/>
  <c r="I358" i="2"/>
  <c r="H352" i="2"/>
  <c r="H348" i="2"/>
  <c r="H347" i="2"/>
  <c r="G348" i="2"/>
  <c r="G347" i="2"/>
  <c r="H267" i="2"/>
  <c r="H317" i="2"/>
  <c r="H318" i="2"/>
  <c r="I353" i="2"/>
  <c r="G352" i="2"/>
  <c r="H346" i="2"/>
  <c r="G351" i="2"/>
  <c r="I351" i="2" s="1"/>
  <c r="H301" i="2"/>
  <c r="H367" i="2" l="1"/>
  <c r="I378" i="2"/>
  <c r="I349" i="2"/>
  <c r="H354" i="2"/>
  <c r="I352" i="2"/>
  <c r="H336" i="2"/>
  <c r="I348" i="2"/>
  <c r="I347" i="2"/>
  <c r="H339" i="2"/>
  <c r="I339" i="2" s="1"/>
  <c r="H277" i="2"/>
  <c r="H257" i="2"/>
  <c r="H333" i="2"/>
  <c r="G277" i="2"/>
  <c r="G276" i="2"/>
  <c r="I276" i="2" s="1"/>
  <c r="G336" i="2"/>
  <c r="G335" i="2"/>
  <c r="G334" i="2"/>
  <c r="I334" i="2" s="1"/>
  <c r="G332" i="2"/>
  <c r="H329" i="2"/>
  <c r="H319" i="2"/>
  <c r="I331" i="2"/>
  <c r="G301" i="2"/>
  <c r="I301" i="2" s="1"/>
  <c r="G243" i="2"/>
  <c r="H303" i="2"/>
  <c r="I317" i="2"/>
  <c r="I326" i="2"/>
  <c r="I325" i="2"/>
  <c r="G324" i="2"/>
  <c r="I324" i="2" s="1"/>
  <c r="I323" i="2"/>
  <c r="H312" i="2"/>
  <c r="I312" i="2" s="1"/>
  <c r="H309" i="2"/>
  <c r="I69" i="7"/>
  <c r="G319" i="2"/>
  <c r="I68" i="7"/>
  <c r="G280" i="2"/>
  <c r="I280" i="2" s="1"/>
  <c r="I318" i="2"/>
  <c r="G296" i="2"/>
  <c r="I296" i="2" s="1"/>
  <c r="G316" i="2"/>
  <c r="I316" i="2" s="1"/>
  <c r="I315" i="2"/>
  <c r="I314" i="2"/>
  <c r="I59" i="7"/>
  <c r="I313" i="2"/>
  <c r="G310" i="2"/>
  <c r="I310" i="2" s="1"/>
  <c r="G309" i="2"/>
  <c r="I308" i="2"/>
  <c r="I307" i="2"/>
  <c r="I306" i="2"/>
  <c r="I305" i="2"/>
  <c r="G303" i="2"/>
  <c r="I304" i="2"/>
  <c r="G302" i="2"/>
  <c r="I302" i="2" s="1"/>
  <c r="I300" i="2"/>
  <c r="I299" i="2"/>
  <c r="I298" i="2"/>
  <c r="I297" i="2"/>
  <c r="I295" i="2"/>
  <c r="I294" i="2"/>
  <c r="G289" i="2"/>
  <c r="I289" i="2" s="1"/>
  <c r="I293" i="2"/>
  <c r="I292" i="2"/>
  <c r="I288" i="2"/>
  <c r="I287" i="2"/>
  <c r="I286" i="2"/>
  <c r="I285" i="2"/>
  <c r="I284" i="2"/>
  <c r="I283" i="2"/>
  <c r="G282" i="2"/>
  <c r="I282" i="2" s="1"/>
  <c r="I281" i="2"/>
  <c r="I279" i="2"/>
  <c r="I278" i="2"/>
  <c r="J267" i="2"/>
  <c r="H268" i="2"/>
  <c r="I20" i="7"/>
  <c r="H273" i="2"/>
  <c r="I273" i="2" s="1"/>
  <c r="I49" i="7"/>
  <c r="I45" i="7"/>
  <c r="I44" i="7"/>
  <c r="I275" i="2"/>
  <c r="I274" i="2"/>
  <c r="I272" i="2"/>
  <c r="I271" i="2"/>
  <c r="I270" i="2"/>
  <c r="I37" i="7"/>
  <c r="I4" i="7"/>
  <c r="I26" i="7"/>
  <c r="J49" i="8"/>
  <c r="J47" i="8"/>
  <c r="J52" i="8"/>
  <c r="J51" i="8"/>
  <c r="J50" i="8"/>
  <c r="J35" i="8"/>
  <c r="J34" i="8"/>
  <c r="J33" i="8"/>
  <c r="J32" i="8"/>
  <c r="J31" i="8"/>
  <c r="J30" i="8"/>
  <c r="J29" i="8"/>
  <c r="J28" i="8"/>
  <c r="J36" i="8" s="1"/>
  <c r="J26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4" i="8"/>
  <c r="H258" i="2"/>
  <c r="G259" i="2"/>
  <c r="H259" i="2"/>
  <c r="H255" i="2"/>
  <c r="G255" i="2"/>
  <c r="G265" i="2"/>
  <c r="G245" i="2"/>
  <c r="H245" i="2"/>
  <c r="I9" i="7"/>
  <c r="G258" i="2"/>
  <c r="G257" i="2"/>
  <c r="H247" i="2"/>
  <c r="I247" i="2" s="1"/>
  <c r="H246" i="2"/>
  <c r="I246" i="2" s="1"/>
  <c r="H242" i="2"/>
  <c r="H243" i="2"/>
  <c r="H231" i="2"/>
  <c r="I231" i="2" s="1"/>
  <c r="H197" i="2"/>
  <c r="G242" i="2"/>
  <c r="G235" i="2"/>
  <c r="I235" i="2" s="1"/>
  <c r="G136" i="2"/>
  <c r="H233" i="2"/>
  <c r="H211" i="2"/>
  <c r="J27" i="5"/>
  <c r="I232" i="2"/>
  <c r="H136" i="2"/>
  <c r="I88" i="7" l="1"/>
  <c r="J53" i="8"/>
  <c r="I257" i="2"/>
  <c r="I255" i="2"/>
  <c r="H340" i="2"/>
  <c r="I277" i="2"/>
  <c r="I336" i="2"/>
  <c r="H290" i="2"/>
  <c r="I309" i="2"/>
  <c r="I243" i="2"/>
  <c r="I245" i="2"/>
  <c r="I319" i="2"/>
  <c r="I303" i="2"/>
  <c r="H321" i="2"/>
  <c r="H239" i="2"/>
  <c r="I258" i="2"/>
  <c r="I242" i="2"/>
  <c r="I267" i="2"/>
  <c r="J21" i="8"/>
  <c r="I259" i="2"/>
  <c r="H262" i="2"/>
  <c r="H249" i="2"/>
  <c r="I226" i="2"/>
  <c r="H203" i="2"/>
  <c r="I203" i="2" s="1"/>
  <c r="H218" i="2"/>
  <c r="I218" i="2" s="1"/>
  <c r="H206" i="2"/>
  <c r="H216" i="2"/>
  <c r="H215" i="2"/>
  <c r="I222" i="2"/>
  <c r="G220" i="2"/>
  <c r="I220" i="2" s="1"/>
  <c r="H219" i="2"/>
  <c r="H214" i="2"/>
  <c r="G215" i="2"/>
  <c r="G211" i="2"/>
  <c r="I211" i="2" s="1"/>
  <c r="G214" i="2"/>
  <c r="G212" i="2"/>
  <c r="I212" i="2" s="1"/>
  <c r="H169" i="2"/>
  <c r="J25" i="5"/>
  <c r="G206" i="2"/>
  <c r="H204" i="2"/>
  <c r="I204" i="2" s="1"/>
  <c r="H189" i="2"/>
  <c r="H200" i="2"/>
  <c r="H127" i="2"/>
  <c r="I127" i="2" s="1"/>
  <c r="H179" i="2"/>
  <c r="H160" i="2"/>
  <c r="H194" i="2"/>
  <c r="G195" i="2"/>
  <c r="G194" i="2"/>
  <c r="J194" i="2"/>
  <c r="G197" i="2"/>
  <c r="I197" i="2" s="1"/>
  <c r="H181" i="2"/>
  <c r="I181" i="2" s="1"/>
  <c r="J31" i="5"/>
  <c r="H106" i="2"/>
  <c r="I106" i="2" s="1"/>
  <c r="G189" i="2"/>
  <c r="H196" i="2"/>
  <c r="Q5" i="5"/>
  <c r="Q8" i="5" s="1"/>
  <c r="R22" i="5"/>
  <c r="Q15" i="5"/>
  <c r="Q22" i="5" s="1"/>
  <c r="Q18" i="5"/>
  <c r="Q17" i="5"/>
  <c r="O22" i="5"/>
  <c r="H156" i="2"/>
  <c r="I192" i="2"/>
  <c r="H95" i="2"/>
  <c r="I95" i="2" s="1"/>
  <c r="H186" i="2"/>
  <c r="G184" i="2"/>
  <c r="I184" i="2" s="1"/>
  <c r="G183" i="2"/>
  <c r="I183" i="2" s="1"/>
  <c r="G185" i="2"/>
  <c r="I185" i="2" s="1"/>
  <c r="H187" i="2"/>
  <c r="I139" i="2"/>
  <c r="J20" i="5"/>
  <c r="J19" i="5"/>
  <c r="J18" i="5"/>
  <c r="J17" i="5"/>
  <c r="J16" i="5"/>
  <c r="H168" i="2"/>
  <c r="G58" i="4"/>
  <c r="D58" i="4"/>
  <c r="G158" i="2"/>
  <c r="H158" i="2"/>
  <c r="O8" i="5"/>
  <c r="J11" i="5"/>
  <c r="J10" i="5"/>
  <c r="J9" i="5"/>
  <c r="J8" i="5"/>
  <c r="J7" i="5"/>
  <c r="J6" i="5"/>
  <c r="J5" i="5"/>
  <c r="J4" i="5"/>
  <c r="H170" i="2"/>
  <c r="H180" i="2"/>
  <c r="G165" i="2"/>
  <c r="I165" i="2" s="1"/>
  <c r="H162" i="2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G179" i="2"/>
  <c r="I176" i="2"/>
  <c r="G171" i="2"/>
  <c r="I171" i="2"/>
  <c r="G168" i="2"/>
  <c r="J45" i="4"/>
  <c r="J46" i="4" s="1"/>
  <c r="G170" i="2"/>
  <c r="G169" i="2"/>
  <c r="I167" i="2"/>
  <c r="I166" i="2"/>
  <c r="G156" i="2"/>
  <c r="G162" i="2"/>
  <c r="I161" i="2"/>
  <c r="H159" i="2"/>
  <c r="H131" i="2"/>
  <c r="I131" i="2" s="1"/>
  <c r="G160" i="2"/>
  <c r="H105" i="2"/>
  <c r="I105" i="2" s="1"/>
  <c r="I157" i="2"/>
  <c r="H138" i="2"/>
  <c r="G138" i="2"/>
  <c r="H150" i="2"/>
  <c r="H137" i="2"/>
  <c r="G137" i="2"/>
  <c r="I140" i="2"/>
  <c r="G133" i="2"/>
  <c r="I133" i="2" s="1"/>
  <c r="I135" i="2"/>
  <c r="H130" i="2"/>
  <c r="G130" i="2"/>
  <c r="I134" i="2"/>
  <c r="I132" i="2"/>
  <c r="I129" i="2"/>
  <c r="I128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2" i="2"/>
  <c r="I109" i="2"/>
  <c r="G108" i="2"/>
  <c r="I108" i="2" s="1"/>
  <c r="H107" i="2"/>
  <c r="I107" i="2" s="1"/>
  <c r="H90" i="2"/>
  <c r="I90" i="2" s="1"/>
  <c r="G35" i="4"/>
  <c r="H99" i="2"/>
  <c r="D27" i="4"/>
  <c r="D35" i="4" s="1"/>
  <c r="H79" i="2"/>
  <c r="H67" i="2"/>
  <c r="G67" i="2"/>
  <c r="G72" i="2"/>
  <c r="I72" i="2" s="1"/>
  <c r="H32" i="2"/>
  <c r="H37" i="2"/>
  <c r="G37" i="2"/>
  <c r="G66" i="2"/>
  <c r="I66" i="2" s="1"/>
  <c r="G65" i="2"/>
  <c r="I65" i="2" s="1"/>
  <c r="H50" i="2"/>
  <c r="G50" i="2"/>
  <c r="G36" i="2"/>
  <c r="J21" i="5" l="1"/>
  <c r="I162" i="2"/>
  <c r="E19" i="5"/>
  <c r="J12" i="5"/>
  <c r="H486" i="2"/>
  <c r="I215" i="2"/>
  <c r="I37" i="2"/>
  <c r="I158" i="2"/>
  <c r="H229" i="2"/>
  <c r="I214" i="2"/>
  <c r="I170" i="2"/>
  <c r="I160" i="2"/>
  <c r="H208" i="2"/>
  <c r="I169" i="2"/>
  <c r="I189" i="2"/>
  <c r="I194" i="2"/>
  <c r="H198" i="2"/>
  <c r="H190" i="2"/>
  <c r="I180" i="2"/>
  <c r="I179" i="2"/>
  <c r="I168" i="2"/>
  <c r="I156" i="2"/>
  <c r="J28" i="5"/>
  <c r="H174" i="2"/>
  <c r="I67" i="2"/>
  <c r="H58" i="4"/>
  <c r="H163" i="2"/>
  <c r="H113" i="2"/>
  <c r="H147" i="2"/>
  <c r="I137" i="2"/>
  <c r="I130" i="2"/>
  <c r="I138" i="2"/>
  <c r="I136" i="2"/>
  <c r="H35" i="4"/>
  <c r="I50" i="2"/>
</calcChain>
</file>

<file path=xl/sharedStrings.xml><?xml version="1.0" encoding="utf-8"?>
<sst xmlns="http://schemas.openxmlformats.org/spreadsheetml/2006/main" count="5411" uniqueCount="2888">
  <si>
    <t xml:space="preserve">Mandi Bahudin </t>
  </si>
  <si>
    <t>City</t>
  </si>
  <si>
    <t>Shop Name</t>
  </si>
  <si>
    <t>Owner</t>
  </si>
  <si>
    <t>Payment</t>
  </si>
  <si>
    <t>Hammad</t>
  </si>
  <si>
    <t>Zalif Khan</t>
  </si>
  <si>
    <t>Haripur</t>
  </si>
  <si>
    <t>Balance</t>
  </si>
  <si>
    <t>HTS</t>
  </si>
  <si>
    <t>Milli Shoes</t>
  </si>
  <si>
    <t>Jehangir</t>
  </si>
  <si>
    <t>Rawalpindi</t>
  </si>
  <si>
    <t>Shops</t>
  </si>
  <si>
    <t>Jamshed</t>
  </si>
  <si>
    <t>Sumandri</t>
  </si>
  <si>
    <t>Zunair</t>
  </si>
  <si>
    <t>Baba Shoes</t>
  </si>
  <si>
    <t>Imran</t>
  </si>
  <si>
    <t>Serial No</t>
  </si>
  <si>
    <t>Mega Shoes</t>
  </si>
  <si>
    <t xml:space="preserve">Shahid </t>
  </si>
  <si>
    <t>Chakwal</t>
  </si>
  <si>
    <t>Brand City</t>
  </si>
  <si>
    <t>Waqas</t>
  </si>
  <si>
    <t>Hkarim</t>
  </si>
  <si>
    <t>Rashid</t>
  </si>
  <si>
    <t>KTML</t>
  </si>
  <si>
    <t>Fayyaz</t>
  </si>
  <si>
    <t>Rehan + Sialkot + Lhr</t>
  </si>
  <si>
    <t>Kiran Shoes</t>
  </si>
  <si>
    <t>Faqir</t>
  </si>
  <si>
    <t>Kohat</t>
  </si>
  <si>
    <t>Pay Date</t>
  </si>
  <si>
    <t>Sent Key + Have to return 7000 for Bata Bubble Gummers when payment rcv</t>
  </si>
  <si>
    <t>Comments</t>
  </si>
  <si>
    <t>Sent Key + 12K for Annual Charges + 5K for Software Module</t>
  </si>
  <si>
    <t>Milli Chapple</t>
  </si>
  <si>
    <t>Ebad</t>
  </si>
  <si>
    <t>Lahore</t>
  </si>
  <si>
    <t>For Six Month</t>
  </si>
  <si>
    <t>28-12-2016</t>
  </si>
  <si>
    <t>26-12-2016</t>
  </si>
  <si>
    <t>Texila</t>
  </si>
  <si>
    <t>New Shop</t>
  </si>
  <si>
    <t>Returned 9000/- to Nadeem with Receipt</t>
  </si>
  <si>
    <t>Mansehra</t>
  </si>
  <si>
    <t>Bata Shoes</t>
  </si>
  <si>
    <t>Smart Shoes</t>
  </si>
  <si>
    <t>Haji Inayat</t>
  </si>
  <si>
    <t>Haji Sb</t>
  </si>
  <si>
    <t>Islamabad</t>
  </si>
  <si>
    <t xml:space="preserve">Hamza </t>
  </si>
  <si>
    <t>Fair Deal</t>
  </si>
  <si>
    <t>New Currency Software</t>
  </si>
  <si>
    <t>Shoe Mart</t>
  </si>
  <si>
    <t xml:space="preserve">Raheel </t>
  </si>
  <si>
    <t>Online Payment in My accounts 03-01-2017 lic (30-06-2017)</t>
  </si>
  <si>
    <t xml:space="preserve">Bilal </t>
  </si>
  <si>
    <t>Atalian</t>
  </si>
  <si>
    <t>Talagang</t>
  </si>
  <si>
    <t>Nasir</t>
  </si>
  <si>
    <t>Sent Key Online Delivered Online Bank 05-01-2017</t>
  </si>
  <si>
    <t>03-01-2017</t>
  </si>
  <si>
    <t>05-01-2017</t>
  </si>
  <si>
    <t>Sent Key. Payment online bank</t>
  </si>
  <si>
    <t>Dolat Khan</t>
  </si>
  <si>
    <t>Tench Bhatta</t>
  </si>
  <si>
    <t>Hina Shoes</t>
  </si>
  <si>
    <t>Prime Shoes</t>
  </si>
  <si>
    <t>Malik/Javed</t>
  </si>
  <si>
    <t>06-01-2017</t>
  </si>
  <si>
    <t>30-12-2016</t>
  </si>
  <si>
    <t>02-01-2017</t>
  </si>
  <si>
    <t>Thr Haji Sb 02/01/2017 Thr Bank Transferred</t>
  </si>
  <si>
    <t>Bank Online</t>
  </si>
  <si>
    <t>EasyPaisa</t>
  </si>
  <si>
    <t xml:space="preserve">Mudil </t>
  </si>
  <si>
    <t>Shazia</t>
  </si>
  <si>
    <t>Bahria 4</t>
  </si>
  <si>
    <t>Azher</t>
  </si>
  <si>
    <t>Al-Imran Flour</t>
  </si>
  <si>
    <t>Milli Gents</t>
  </si>
  <si>
    <t>Total</t>
  </si>
  <si>
    <t>Faisal Plastic</t>
  </si>
  <si>
    <t>Athar</t>
  </si>
  <si>
    <t>by Idrees 2K Adjusted in old khata</t>
  </si>
  <si>
    <t>27-01-2017</t>
  </si>
  <si>
    <t xml:space="preserve">Honey </t>
  </si>
  <si>
    <t>New Project 25K + 6K Anuual + 6k Server + 4K Misc</t>
  </si>
  <si>
    <t>License</t>
  </si>
  <si>
    <t>Dollar Store</t>
  </si>
  <si>
    <t>Faisal</t>
  </si>
  <si>
    <t>March ma Licence Fee pay karni ha</t>
  </si>
  <si>
    <t>Yasir</t>
  </si>
  <si>
    <t>28-02-2017</t>
  </si>
  <si>
    <t>27-02-2017</t>
  </si>
  <si>
    <t>Javed Flour</t>
  </si>
  <si>
    <t>04-03-2017</t>
  </si>
  <si>
    <t>Naveed Shoes</t>
  </si>
  <si>
    <t>Naveed</t>
  </si>
  <si>
    <t>New Project (30K SW/ 15K Online / 11K Annual License) Rcvd 26K 07-03-2017</t>
  </si>
  <si>
    <t>1 Step</t>
  </si>
  <si>
    <t>Saleem</t>
  </si>
  <si>
    <t xml:space="preserve">Stemar </t>
  </si>
  <si>
    <t>Javed/Rizwan</t>
  </si>
  <si>
    <t>Karachi</t>
  </si>
  <si>
    <t>New Shop (remaining 10K 11-03-2017 thr Aamir License is 30-11-2017)</t>
  </si>
  <si>
    <t>Head Office = 1,10K, Branch 90K, Per Month Per Branch 1.5K</t>
  </si>
  <si>
    <t>Revised =&gt; Head office =1000K, Branch 90K x 2=180K,License 1500 x 3 x 9=40500, Minus 30,000 from Bata Bubble Old Payment Rcvd</t>
  </si>
  <si>
    <t>Abid Cloth 1st floor</t>
  </si>
  <si>
    <t>Ch. Saeed</t>
  </si>
  <si>
    <t>Jehulm</t>
  </si>
  <si>
    <t>New 30K + 12K Annual (30K Paid on visit 27-3-2017)</t>
  </si>
  <si>
    <t>Abid Garments</t>
  </si>
  <si>
    <t>Nadeem</t>
  </si>
  <si>
    <t>New 30K + 12K Annual (30K Paid on visit 27-3-2017) 7K waveoff</t>
  </si>
  <si>
    <t>JazzCash 05-01-2017 Ghalti se 31-12-2017 tak License diya ha. Payment 01-07-2017 ko leni ha</t>
  </si>
  <si>
    <t>Abid Hoseiry Store</t>
  </si>
  <si>
    <t>Shahid</t>
  </si>
  <si>
    <t>6K Per Anum 4K + 10K (27-01-2017) (1K droped….must signed by Azher sb when ever rcv payment…he has forgotten problem.)(5K 26-4-2017)</t>
  </si>
  <si>
    <t>See Entry No.24</t>
  </si>
  <si>
    <t>Central Asia Travels</t>
  </si>
  <si>
    <t>Zafar</t>
  </si>
  <si>
    <t>Online Bank 26-04-2017</t>
  </si>
  <si>
    <t>Baba Jee</t>
  </si>
  <si>
    <t>Ubaid</t>
  </si>
  <si>
    <t>30K New Software 5K (01-05-2017 to 30-09-2017) online bank 27-04-2017</t>
  </si>
  <si>
    <t>New Software 25K + 10K till 31-12-2017 by Jamshed sb (Paid 24-3-2017 Rs.20K at my office) (15K 26-4-2017 Umair fetched from his shop)</t>
  </si>
  <si>
    <t>S.S.Ghulam Travels</t>
  </si>
  <si>
    <t>Masood</t>
  </si>
  <si>
    <t>Abbottabad</t>
  </si>
  <si>
    <t>Online</t>
  </si>
  <si>
    <t>WalkIn</t>
  </si>
  <si>
    <t>Khawar</t>
  </si>
  <si>
    <t>136000+1120 = 137000 (rcvd online 45000 7-March)(online 50K 03-04-2017)(online 42K 15-05-2017)</t>
  </si>
  <si>
    <t>Promise 1st week of April (10K Paid 22-4-2017 by self)(10K online 27-04-2017)(10K online 04-05-2017)(9K Online 16-05-2017)</t>
  </si>
  <si>
    <t>Kurshid &amp; Sons</t>
  </si>
  <si>
    <t xml:space="preserve">Imran </t>
  </si>
  <si>
    <t>Annual for 2 Shops (16-05-2017)</t>
  </si>
  <si>
    <t>Server Build  6K + P6800/-</t>
  </si>
  <si>
    <t>New (30K + 10K For Annual Charges @1000/- per month)(Revised 28K and 9K)(9K by Atiq 17*05-2017)</t>
  </si>
  <si>
    <t>Kamran</t>
  </si>
  <si>
    <t>Peshawar</t>
  </si>
  <si>
    <t>Email Dated:19-04-2017</t>
  </si>
  <si>
    <t>a. Software Configuration, Installation, Training online and modification as requested in email dated:18-04-2017  with SMS Module after Payment.</t>
  </si>
  <si>
    <r>
      <t xml:space="preserve">             </t>
    </r>
    <r>
      <rPr>
        <b/>
        <sz val="11"/>
        <color theme="1"/>
        <rFont val="Calibri"/>
        <family val="2"/>
        <scheme val="minor"/>
      </rPr>
      <t>Rs. 5,50,000/-</t>
    </r>
  </si>
  <si>
    <t>b. Server Configuration in Linux</t>
  </si>
  <si>
    <r>
      <t xml:space="preserve">             </t>
    </r>
    <r>
      <rPr>
        <b/>
        <sz val="11"/>
        <color theme="1"/>
        <rFont val="Calibri"/>
        <family val="2"/>
        <scheme val="minor"/>
      </rPr>
      <t>Rs.      6,000/-</t>
    </r>
  </si>
  <si>
    <t>c. Annual License as under</t>
  </si>
  <si>
    <r>
      <t>      </t>
    </r>
    <r>
      <rPr>
        <b/>
        <sz val="11"/>
        <color theme="1"/>
        <rFont val="Calibri"/>
        <family val="2"/>
        <scheme val="minor"/>
      </rPr>
      <t xml:space="preserve"> i. Head Office       Rs.2500/- Per Month</t>
    </r>
  </si>
  <si>
    <t>       ii. Per Branch       Rs.1500/- Per Month</t>
  </si>
  <si>
    <t>    (New Branch add Rs.30,000/- one time and Rs.1500/- Per Month per branch license fee, after existing 6 branch+1 Head office)</t>
  </si>
  <si>
    <t>    (Annual License will start May,2017 now, otherwise every-year Jan-to-Dec and annual license payment will be in advance.)</t>
  </si>
  <si>
    <t>Note: all prices are without any Govt. Taxes with no refund policy and in cash payment mode.</t>
  </si>
  <si>
    <t>H.Karim &amp; Sons</t>
  </si>
  <si>
    <t>12K Online Charges+1200 monthly Online Bill</t>
  </si>
  <si>
    <t>(50K Online 15-05-2017)+(50K by Irtiza 25-05-2017)</t>
  </si>
  <si>
    <t>Gilgit Weight</t>
  </si>
  <si>
    <t>4K (Sakardo 27-5-2017)</t>
  </si>
  <si>
    <t>Azhar</t>
  </si>
  <si>
    <t>25K New Godown+Shops+12K Online+7K Monthly (25K by Rehan Shoe Market Shahid sb 27-05-2017)</t>
  </si>
  <si>
    <t>Rcvd 10K 7/2/2017 (20K Software + 12K Annual)(10,000/- 13-04-2017)(12K Annual Charges Online 30-5-2017 Meezan bank)</t>
  </si>
  <si>
    <t>Islamabad E-11</t>
  </si>
  <si>
    <t>Bilal</t>
  </si>
  <si>
    <t>Islamabad Abpara Godown</t>
  </si>
  <si>
    <t>Godown Abpara 31-5-2017 20K For Software + 7K for Annual Charges from 01-6-2017 to 31-12-2017</t>
  </si>
  <si>
    <t xml:space="preserve">Flex System </t>
  </si>
  <si>
    <t>13-6-2017</t>
  </si>
  <si>
    <t>20K(25-3-2017)+50K(13-4-2017)+30K(24-04-2017)+30K(02-05-2017)+20K(17-05-2017)+65K(23-05-2017)+50K(20-06-2017 from Sajid sb)</t>
  </si>
  <si>
    <t>Weigh Links</t>
  </si>
  <si>
    <t>4K(20-06-2017 by hand Azhar at Sajid Sweet)</t>
  </si>
  <si>
    <t>New Branch 45K + 12K(Annual) + 20K HR System+7K New Server configure (Paid on 24-6-2017)</t>
  </si>
  <si>
    <t>25500/- on 24-6-2017 from Sajid sb</t>
  </si>
  <si>
    <t>Cancelled by us</t>
  </si>
  <si>
    <t>Bata Mega Shoes</t>
  </si>
  <si>
    <t>License till 31-12-2017 6 month ka, Online MBL 30-06-2017</t>
  </si>
  <si>
    <t>Monthly Per Branch 1500, Head Office 2500, Total = 4000 x 7 = 28000</t>
  </si>
  <si>
    <t>01-07-2017</t>
  </si>
  <si>
    <t>Atalian Shoes</t>
  </si>
  <si>
    <t>License till 31-12-2017 6 month ka, Easy Paisa (5-7-2017)</t>
  </si>
  <si>
    <t>Ulfat/Nasir</t>
  </si>
  <si>
    <t>License till 31-12-2017 6 month ka, Easy Paisa (7-7-2017)</t>
  </si>
  <si>
    <t>Ameer</t>
  </si>
  <si>
    <t>Bata BrandCity</t>
  </si>
  <si>
    <t>Shahzad/Husnain</t>
  </si>
  <si>
    <t>1 Head Office 5 Shops (Sotware with online + Server Configuration 2,00,000/-) monthly 01-06-2017 to 31-12-2017 (7x6x1000 = 42,000)</t>
  </si>
  <si>
    <t>HR Module (10-05-2017) Paid 28th or Ramazan</t>
  </si>
  <si>
    <t>Blue Bird</t>
  </si>
  <si>
    <t>Waseem</t>
  </si>
  <si>
    <t>by Cash on 8-07-2017</t>
  </si>
  <si>
    <t>Milli Chapple Lhr</t>
  </si>
  <si>
    <t>Ali</t>
  </si>
  <si>
    <t>Thr Chacha Jamil</t>
  </si>
  <si>
    <t>Online 15K, Server Configure 3K, Monthly 1400/- from 01-7-2017 to 30-09-2017 (4K 19-07-2017)</t>
  </si>
  <si>
    <t>Towel Store</t>
  </si>
  <si>
    <t>Hazara Travel &amp; Tours</t>
  </si>
  <si>
    <t>Hussain</t>
  </si>
  <si>
    <t>Only License (01-8-2017 to 31-12-2017) online MBL 21-07-2017</t>
  </si>
  <si>
    <t>After Hajj</t>
  </si>
  <si>
    <t>Islam Auto Spare Parts</t>
  </si>
  <si>
    <t>Tanvir Ali</t>
  </si>
  <si>
    <t>G-10/4</t>
  </si>
  <si>
    <t>14-09-2017</t>
  </si>
  <si>
    <t>MH</t>
  </si>
  <si>
    <t>Khattock</t>
  </si>
  <si>
    <t>License 31-12-2017</t>
  </si>
  <si>
    <t>Consh Velly</t>
  </si>
  <si>
    <t>20-09-2017</t>
  </si>
  <si>
    <t>01-10-2017 to 31-03-2017 (6k Online Meezan Bank Zee Softaware)</t>
  </si>
  <si>
    <t>Movia</t>
  </si>
  <si>
    <t>22-09-2017</t>
  </si>
  <si>
    <t>Online Internet Fee 01-10-2017 to 31-12-2017</t>
  </si>
  <si>
    <t>Software 30K, Licence 01-10-2017 to 31-12-2017 @1000/-x3=3000 (5k Given to Wajid sb)</t>
  </si>
  <si>
    <t>HRTRC</t>
  </si>
  <si>
    <t>23-09-2017</t>
  </si>
  <si>
    <t>License 01-07-2017 to 31-12-2017</t>
  </si>
  <si>
    <t>New Rawal Autos</t>
  </si>
  <si>
    <t>04-10-2017</t>
  </si>
  <si>
    <t>License 01-10-2017 to 31-03-2018</t>
  </si>
  <si>
    <t>Park Road Practice</t>
  </si>
  <si>
    <t>Uzma</t>
  </si>
  <si>
    <t>Nirala Sweets</t>
  </si>
  <si>
    <t>05-10-2017</t>
  </si>
  <si>
    <t>120K Software + 50K(Online 18-4-2017) License 31-12-2017 (01-10-2017 to 31-12-2017 Pending Payment 07-10-2017 ko lic diya tha)</t>
  </si>
  <si>
    <t>21-10-2017</t>
  </si>
  <si>
    <t>by Jamshed</t>
  </si>
  <si>
    <t>HTS Sadiq Abad</t>
  </si>
  <si>
    <t>23-10-2017</t>
  </si>
  <si>
    <t>Finger Attendance System</t>
  </si>
  <si>
    <t>Foreign Currency</t>
  </si>
  <si>
    <t>Sh Hamza</t>
  </si>
  <si>
    <t>22-10-2017</t>
  </si>
  <si>
    <t>Server Re-Configure</t>
  </si>
  <si>
    <t>Previous Payment from 01-04-106 to 31-12-2016 (Rcvd 9K thr Jamshed sb on 22-10-2017(</t>
  </si>
  <si>
    <t>Bata Simple</t>
  </si>
  <si>
    <t>26-10-2017</t>
  </si>
  <si>
    <t>Zulfiqar</t>
  </si>
  <si>
    <t>Chakri</t>
  </si>
  <si>
    <t>Misc</t>
  </si>
  <si>
    <t>Abid Hoseriey</t>
  </si>
  <si>
    <t>31-10-2017</t>
  </si>
  <si>
    <t>15K online 01-11-2017 to 30-04-2018 (Online Monthly Charges @1400/- p.m)</t>
  </si>
  <si>
    <t>H Karim &amp; Sons</t>
  </si>
  <si>
    <t>Rahid</t>
  </si>
  <si>
    <t>Jehlum</t>
  </si>
  <si>
    <t>01-11-2017</t>
  </si>
  <si>
    <t>07-11-2017</t>
  </si>
  <si>
    <t>CMH</t>
  </si>
  <si>
    <t>CO</t>
  </si>
  <si>
    <t>Remaining Software &amp; License Amount</t>
  </si>
  <si>
    <t>13-11-2017</t>
  </si>
  <si>
    <t>Milli Shoes Atif Arif</t>
  </si>
  <si>
    <t>Life-Changer Software. Head Office Rs.1Lac, Branch 3x70K=210,000, Per Month 1500x4x12=72,000</t>
  </si>
  <si>
    <t>till 31-12-2017 monthly Net charges online @1200/- p.m.</t>
  </si>
  <si>
    <t>15-11-2017</t>
  </si>
  <si>
    <t>Wifi Networking Profit</t>
  </si>
  <si>
    <t>16-11-2017</t>
  </si>
  <si>
    <t>Kashmir Floor Mills</t>
  </si>
  <si>
    <t>17-11-2017</t>
  </si>
  <si>
    <t>New HD=120 GB @6500/-, Recovery Data=1000, Configure + Win+Antiviurs = 1500 (Rcvd 3100 18-11-2017)</t>
  </si>
  <si>
    <t>Weight Links</t>
  </si>
  <si>
    <t>21-11-2017</t>
  </si>
  <si>
    <t>Ghani Traders</t>
  </si>
  <si>
    <t>Mustafa</t>
  </si>
  <si>
    <t>Gujar Khan</t>
  </si>
  <si>
    <t>23-11-2017</t>
  </si>
  <si>
    <t>Date</t>
  </si>
  <si>
    <t>Received Amount</t>
  </si>
  <si>
    <t>Remarks</t>
  </si>
  <si>
    <t>by Mujtaba Bank</t>
  </si>
  <si>
    <t>by Mujtaba Qamar</t>
  </si>
  <si>
    <t>22-11-2017</t>
  </si>
  <si>
    <t>24-11-2017</t>
  </si>
  <si>
    <t>by Bank (Noman Transfer in my Meezan Bank)</t>
  </si>
  <si>
    <t>by Bank Jabeen Baji Transfer in my Meezan Bank)</t>
  </si>
  <si>
    <t>Advance for Property</t>
  </si>
  <si>
    <t>Jabeen Baji Property</t>
  </si>
  <si>
    <t>Price added in Jamil Sweets(1K given to Azhar)</t>
  </si>
  <si>
    <t>NLC Proj CPEC Pkg-1</t>
  </si>
  <si>
    <t>25-11-2017</t>
  </si>
  <si>
    <t>Munir Brothers</t>
  </si>
  <si>
    <t>Sajid / Arsalan</t>
  </si>
  <si>
    <t>27-11-2017</t>
  </si>
  <si>
    <t>Rcvd 50K + 150K in 29th Ramazan</t>
  </si>
  <si>
    <t>Software 30K(cash 28-11-2017), 12K Annual Charges(Pending)</t>
  </si>
  <si>
    <t>Software 20K+6K Annual Charges by Idrees (MBL Rcvd 23-11-2017)</t>
  </si>
  <si>
    <t>Wow Kids</t>
  </si>
  <si>
    <t xml:space="preserve">Yasir </t>
  </si>
  <si>
    <t>29-11-2017</t>
  </si>
  <si>
    <t>by Bank Farah Transfer in my MBL</t>
  </si>
  <si>
    <t>by Jehangir</t>
  </si>
  <si>
    <t>30-11-2017</t>
  </si>
  <si>
    <t>Deduct Bank Charges</t>
  </si>
  <si>
    <t>by Mustaba MBL</t>
  </si>
  <si>
    <t>03-12-2017</t>
  </si>
  <si>
    <t>GBP2000 by Usama convert @143.4x2000=286,800/-</t>
  </si>
  <si>
    <t>04-12-2017</t>
  </si>
  <si>
    <t>Chq Given to Owner</t>
  </si>
  <si>
    <t>05-12-2017</t>
  </si>
  <si>
    <t>3600/- Jamil Sweets Server configure and recovery. 4000/- remaining from Azhar (thr Idress),1500/- S.S Ghulam Hussain Abtabd</t>
  </si>
  <si>
    <t>09-12-2017</t>
  </si>
  <si>
    <t>by Sabir Lahore</t>
  </si>
  <si>
    <t>11-12-2017</t>
  </si>
  <si>
    <t>by Cash</t>
  </si>
  <si>
    <t>15-12-2017</t>
  </si>
  <si>
    <t>New 14K + 500/- per month (5K Advance,9K 13-12-2017 when PC come to my office</t>
  </si>
  <si>
    <t>Isb</t>
  </si>
  <si>
    <t>13-12-2017</t>
  </si>
  <si>
    <t>License 01-10-2017 to 31-12-2017 When PC come my office for repairing,(500 Balance for PC repair from outside</t>
  </si>
  <si>
    <t>Ghani Sons</t>
  </si>
  <si>
    <t>Faiq</t>
  </si>
  <si>
    <t>Registry online Payment</t>
  </si>
  <si>
    <t>Writing Registry etc</t>
  </si>
  <si>
    <t>District Tax</t>
  </si>
  <si>
    <t>Registry Clearance to Agent</t>
  </si>
  <si>
    <t/>
  </si>
  <si>
    <t>18-12-2017</t>
  </si>
  <si>
    <t>Dealer Fee (Original 50K but given only 15K)</t>
  </si>
  <si>
    <t>SW=25K,Shop1=12K,Shop2=12K,Server Config=6K,Online 3Shops=15K,Annual 3Shops=24K, Total=94,(Rcvd 50K on 25-11-2017),(Rcvd 44K MBL 18-12-2017)</t>
  </si>
  <si>
    <t>Ladies Under Garments</t>
  </si>
  <si>
    <t>License 01-01-2018 to 31-12-2018</t>
  </si>
  <si>
    <t>25-12-2017</t>
  </si>
  <si>
    <t>29-12-2017</t>
  </si>
  <si>
    <t>Al-Maida Rest</t>
  </si>
  <si>
    <t>Murree</t>
  </si>
  <si>
    <t>POS=25K,Annual=10K,Accounts 10K,Annual=5K (Lic 31-07-2018)</t>
  </si>
  <si>
    <t>31-12-2017</t>
  </si>
  <si>
    <t>License 01-01-2018 to 31-12-2018 (All Shops</t>
  </si>
  <si>
    <t>01-01-2018</t>
  </si>
  <si>
    <t>Shahid (main Shop)</t>
  </si>
  <si>
    <t>Shahid (Godown)</t>
  </si>
  <si>
    <t>Akbar</t>
  </si>
  <si>
    <t xml:space="preserve">HONEY KIDS WEAR    </t>
  </si>
  <si>
    <t>POS, Barf Khana Chowk, Dhoke Syedan - given lic 31-12-2018</t>
  </si>
  <si>
    <t>Servic Shoes</t>
  </si>
  <si>
    <t>License 01-01-2018 to 30-06-2018</t>
  </si>
  <si>
    <t>Irfan Shoes</t>
  </si>
  <si>
    <t>Shahzad</t>
  </si>
  <si>
    <t>Gujrat</t>
  </si>
  <si>
    <t>Arsalan</t>
  </si>
  <si>
    <t>Friendz Shoes</t>
  </si>
  <si>
    <t>License 01-01-2018 to 30-06-2018(6K 02-01-2018 thr Chacha Jamil)</t>
  </si>
  <si>
    <t>02-01-2018</t>
  </si>
  <si>
    <t>Honey</t>
  </si>
  <si>
    <t>DHA</t>
  </si>
  <si>
    <t>04-01-2018</t>
  </si>
  <si>
    <t>Little Angel</t>
  </si>
  <si>
    <t>Trh Shahnawaz (21-07-2017) Till 30-06-2018</t>
  </si>
  <si>
    <t>Shoes Gallary</t>
  </si>
  <si>
    <t>Rawalpindi Moti Bazar</t>
  </si>
  <si>
    <t>License 01-01-2018 to 31-12-2018(05-01-2018 MBL 12K)</t>
  </si>
  <si>
    <t>Income</t>
  </si>
  <si>
    <t>Expenses</t>
  </si>
  <si>
    <t>Kashif Traders</t>
  </si>
  <si>
    <t>Kashif</t>
  </si>
  <si>
    <t>08-01-2018</t>
  </si>
  <si>
    <t>License 01-01-2018 to 30-06-2018+Online DB @1400/- (16800+12000=28800) (7200/- 03-01-2018 -- 3K as Lic, 4200/- as Online DB)(7200/- 05-01-2018)</t>
  </si>
  <si>
    <t>License 01-01-2018 to 31-12-2018 + SMS Package 5000/- Cash by Rehan my off on 02-01-2018 (1200 for Device actual 2300/-</t>
  </si>
  <si>
    <t>Rehan Boy</t>
  </si>
  <si>
    <t>Khurshid &amp; Sons</t>
  </si>
  <si>
    <t>09-01-2018</t>
  </si>
  <si>
    <t>Online DB 01-01-2018 to 31-12-2018</t>
  </si>
  <si>
    <t>Kadam PCU</t>
  </si>
  <si>
    <t>Ishaq</t>
  </si>
  <si>
    <t>SW=25K, 8K Annual (15K Rcvd Cash 08-01-2018)(10K cash 10-01-2018)</t>
  </si>
  <si>
    <t>Jamil Sweets</t>
  </si>
  <si>
    <t>Waqar</t>
  </si>
  <si>
    <t>10-01-2018</t>
  </si>
  <si>
    <t>Jadeed Books</t>
  </si>
  <si>
    <t>Afzaal</t>
  </si>
  <si>
    <t>License 01-01-2018 to 31-12-2018(12Kfrom shop thr Kaleem 15-01-2018)</t>
  </si>
  <si>
    <t>License 2 Shops + 1 HeadOffice(Updt 18-12-2017)(40K 30-12-2017 Thr Sajid + Kaleem from Shop)(24Kfrom shop thr Kaleem 15-01-2018)</t>
  </si>
  <si>
    <t>Raja Shahid</t>
  </si>
  <si>
    <t>15-01-2018</t>
  </si>
  <si>
    <t>17-01-2018</t>
  </si>
  <si>
    <t>License 01-01-2018 to 30-06-2018 (online Meezan Bank 6k 17-01-2018)</t>
  </si>
  <si>
    <t>Shahid &amp; Brothers Shoes</t>
  </si>
  <si>
    <t>Nasir sb (Easy Paisa 01-01-2018 to 30-06-2018)</t>
  </si>
  <si>
    <t>License 01-01-2018 to 31-12-2018(12K Online Meezan 10-01-2018)</t>
  </si>
  <si>
    <t>License 01-01-2018 to 30-06-2018 (6k easypaisa 17-01-2018)</t>
  </si>
  <si>
    <t>License 01-01-2018 to 30-06-2018 *(By hand cash)</t>
  </si>
  <si>
    <t>18-01-2018</t>
  </si>
  <si>
    <t>SMS Device (7K Meezan Bank 18-01-2018)</t>
  </si>
  <si>
    <t>One Step Shoes</t>
  </si>
  <si>
    <t>License 01-01-2018 to 31-12-2018(18-01-2018 MBL 12K)</t>
  </si>
  <si>
    <t>License 01-01-2018 to 31-12-2018(Cash by Waqas 20-01-2018)</t>
  </si>
  <si>
    <t>License 01-01-2018 to 31-12-2018 (Cash by Faisal on his Shop to me 20-01-2018)</t>
  </si>
  <si>
    <t>MH Hospital</t>
  </si>
  <si>
    <t>22-01-2018</t>
  </si>
  <si>
    <t>License 01-01-2018 to 30-06-2018(thr Meezan Bank)</t>
  </si>
  <si>
    <t>Extra work on software(10K Cash at my office)</t>
  </si>
  <si>
    <t>License 01-01-2018 to 31-12-2018(Meezan Bank 12K 23-01-2018)</t>
  </si>
  <si>
    <t>License 01-01-2018 to 30-06-2018(25-01-2018 4K for Modification before signed contract)</t>
  </si>
  <si>
    <t>Quick Care</t>
  </si>
  <si>
    <t>Brdg Mansoor</t>
  </si>
  <si>
    <t>26-01-2018</t>
  </si>
  <si>
    <t>SMS Device(10K Meezan Bank)(8.5K SW + 1.5 Device)</t>
  </si>
  <si>
    <t>31-01-2018</t>
  </si>
  <si>
    <t>Online DB 01-01-2018 to 31-12-2018 (30-01-2018)</t>
  </si>
  <si>
    <t>01-02-2018</t>
  </si>
  <si>
    <t>License 01-01-2018 to 31-12-2018(Cash from Shop by me 12K)</t>
  </si>
  <si>
    <t>Hush Puppies</t>
  </si>
  <si>
    <t>Bhakhar</t>
  </si>
  <si>
    <t>Aamir Owner</t>
  </si>
  <si>
    <t>SW=25k,Annual 12k (Thr online in Jamshed bhai account on 01-02-2018)</t>
  </si>
  <si>
    <t>03-02-2018</t>
  </si>
  <si>
    <t>Online Config Charges (10K Meezan Bank)</t>
  </si>
  <si>
    <t>Thanks Allah Raheem o Kareem</t>
  </si>
  <si>
    <t>Milli / Smart Shoes</t>
  </si>
  <si>
    <t>Dolat</t>
  </si>
  <si>
    <t>Taxila</t>
  </si>
  <si>
    <t>05-02-2018</t>
  </si>
  <si>
    <t>SW=25K,Online 15K,2K Monthly+Online+4K USB Device (5K Cash 10-01-2018)(K5 Cash 20-01-2018)(10K 27-01-2018)(10K Cash 02-02-2018)(10K Cash 05-02-2018 thr Kaleem)</t>
  </si>
  <si>
    <t>BarCode to Taxila 50x10=500</t>
  </si>
  <si>
    <t>07-02-2018</t>
  </si>
  <si>
    <t>Update Software for Lab (AG Comments added)</t>
  </si>
  <si>
    <t>10-02-2018</t>
  </si>
  <si>
    <t>12-02-2018</t>
  </si>
  <si>
    <t>License 01-01-2018 to 31-12-2018 + VPS 1400/- x 12 = 16800/- Total 66800/- (Meezan Bank in Malik Aamir Nazir)</t>
  </si>
  <si>
    <t>Stacks &amp; Chops</t>
  </si>
  <si>
    <t xml:space="preserve">Iftikhar </t>
  </si>
  <si>
    <t>13-02-2018</t>
  </si>
  <si>
    <t>by Bank Transfer to Imran Shiekh)</t>
  </si>
  <si>
    <t>License 01-01-2018 to 31-12-2018+Online DB @1200/- (14400+12000=26400) (24K 13-02-2018 cash at my office Rashid bhai)</t>
  </si>
  <si>
    <t>SW=20k,Annual 12k (31K cash thr shop Tench Bhatta '20K=SW,11K=Feb to Dec-18')(Return 21K due to closed)</t>
  </si>
  <si>
    <t>Service Faisal</t>
  </si>
  <si>
    <t>15-02-2018</t>
  </si>
  <si>
    <t>20-02-2018</t>
  </si>
  <si>
    <t>by Mujtaba Meezan Bank</t>
  </si>
  <si>
    <t>Cash Given to Property Dealer</t>
  </si>
  <si>
    <t>WOW Kids 2nd Shop</t>
  </si>
  <si>
    <t>Abbotabad</t>
  </si>
  <si>
    <t>Software 25K + 12K Annual (5K as Adv 29-11-2017)(20K online MBL 04-12-2017)(12K online MBL on 22-02-2018)</t>
  </si>
  <si>
    <t>SW=25K,PerMonth 1000/- 01-02-2018 to 31-12-2018,11000/- (26K cash by Kaleem from his shop 22-02-2018)</t>
  </si>
  <si>
    <t>For the Month of January-2018</t>
  </si>
  <si>
    <t>Bata Family Brand</t>
  </si>
  <si>
    <t>Shakil by Zuliqar Chakri Road</t>
  </si>
  <si>
    <t>Ghauri Town</t>
  </si>
  <si>
    <t>23-02-2018</t>
  </si>
  <si>
    <t>SW=15K,Annual 6K(Only POS) (15K Cash Paid 23-02-2018)</t>
  </si>
  <si>
    <t>by Bank Jabeen Baji to Qamar (Al-Falah)</t>
  </si>
  <si>
    <t>Super Shoes</t>
  </si>
  <si>
    <t>Abeer</t>
  </si>
  <si>
    <t>26-02-2018</t>
  </si>
  <si>
    <t>For the Month of Febuary-2018</t>
  </si>
  <si>
    <t>02-03-2018</t>
  </si>
  <si>
    <t>License 01-02-2018 to 31-07-2018 (6Month)</t>
  </si>
  <si>
    <t>05-03-2018</t>
  </si>
  <si>
    <t>Shahid &amp; Brothers</t>
  </si>
  <si>
    <t>Zaheer Nazir</t>
  </si>
  <si>
    <t>Doosan auto</t>
  </si>
  <si>
    <t>Shafiq</t>
  </si>
  <si>
    <t>07-03-2018</t>
  </si>
  <si>
    <t>10-03-2018</t>
  </si>
  <si>
    <t>(30K 13-02-2018 by Bank)(30K 05-03-2018)(I given 1K to Yasin + 1130 Balance from HW 08-03-2018)</t>
  </si>
  <si>
    <t>Sofi Mirch</t>
  </si>
  <si>
    <t>Zeeshan</t>
  </si>
  <si>
    <t>12-03-2018</t>
  </si>
  <si>
    <t>Whole Year</t>
  </si>
  <si>
    <t>13-03-2018</t>
  </si>
  <si>
    <t>SW=20K lumsum  (Cash 10k 07-03-2018)(Cash 10K 13-03-2018)</t>
  </si>
  <si>
    <t>Zahid GM</t>
  </si>
  <si>
    <t>14-03-2018</t>
  </si>
  <si>
    <t>Hardware</t>
  </si>
  <si>
    <t>Jamil Sweets (SW)</t>
  </si>
  <si>
    <t>Jamil Sweets (HW)</t>
  </si>
  <si>
    <t>Paid</t>
  </si>
  <si>
    <t>InHand Cash</t>
  </si>
  <si>
    <t>Pounds</t>
  </si>
  <si>
    <t>Sadqa &amp; Khairat by request of Jabeen Baji</t>
  </si>
  <si>
    <t>by Jabeen Baji 7000 Pound 7000x153.50</t>
  </si>
  <si>
    <t>Nafeesa Trading</t>
  </si>
  <si>
    <t>Consh Valley</t>
  </si>
  <si>
    <t>28-03-2018</t>
  </si>
  <si>
    <t>License 30-09-2018 (6k MBL 28-03-2018 Zee Soft Account)</t>
  </si>
  <si>
    <t>Javeria</t>
  </si>
  <si>
    <t>30-03-2018</t>
  </si>
  <si>
    <t>License Aug-Sep2018 (12k MBL Online)</t>
  </si>
  <si>
    <t>SMS System installed with USB Free of Cost Given + 1500/- Free SMS Package Given</t>
  </si>
  <si>
    <t>For the Month of March-2018</t>
  </si>
  <si>
    <t>March</t>
  </si>
  <si>
    <t>Hardware Server=52K,PC=7500,Receipt Printer 8500,Scanner 16200,Receipt Roll=115x100=11500(55K Cash 15-03-2018)(40700 cash in my office 15-03-2018)(1500 for Network Cable)</t>
  </si>
  <si>
    <t>S.S. Ghulam Hussain</t>
  </si>
  <si>
    <t>05-04-2018</t>
  </si>
  <si>
    <t>License 12K MBL 05-04-2018, From 01-04-2018 to 31-03-2019</t>
  </si>
  <si>
    <t>05-04-5018</t>
  </si>
  <si>
    <t>Bata Mega Store</t>
  </si>
  <si>
    <t>Javed</t>
  </si>
  <si>
    <t>Rawlakot</t>
  </si>
  <si>
    <t>06-04-2018</t>
  </si>
  <si>
    <t>SW=15K Shoes POS,6K Annual (15k Cash 06-04-2018)</t>
  </si>
  <si>
    <t>Shanawaz sb</t>
  </si>
  <si>
    <t>License 01-04-2018 to 30-09-2018</t>
  </si>
  <si>
    <t>Aziz</t>
  </si>
  <si>
    <t>Gilgit</t>
  </si>
  <si>
    <t>09-04-2018</t>
  </si>
  <si>
    <t>Cement (Doosan)</t>
  </si>
  <si>
    <t>Thr Shafiq</t>
  </si>
  <si>
    <t>Server</t>
  </si>
  <si>
    <t xml:space="preserve">PC </t>
  </si>
  <si>
    <t>Scanner</t>
  </si>
  <si>
    <t>Printer Receipt</t>
  </si>
  <si>
    <t>Printer Barcode</t>
  </si>
  <si>
    <t>Thumb Scanner</t>
  </si>
  <si>
    <t>Printer LaserJet</t>
  </si>
  <si>
    <t>BarCodes</t>
  </si>
  <si>
    <t>Ribben</t>
  </si>
  <si>
    <t>Receipt Roll</t>
  </si>
  <si>
    <t>Label xpert</t>
  </si>
  <si>
    <t>TSC 244Pro</t>
  </si>
  <si>
    <t>Orbit</t>
  </si>
  <si>
    <t>URU4500</t>
  </si>
  <si>
    <t>Server Configure</t>
  </si>
  <si>
    <t>Software+2 POS</t>
  </si>
  <si>
    <t>Time Attendance System</t>
  </si>
  <si>
    <t>SMS</t>
  </si>
  <si>
    <t>Free</t>
  </si>
  <si>
    <t>License/Support Charges</t>
  </si>
  <si>
    <t>Optional</t>
  </si>
  <si>
    <t>10-04-2018</t>
  </si>
  <si>
    <t>Muhammad Daud Sb</t>
  </si>
  <si>
    <t>20-A, Nisar Road, Bakery Chowk, Near Army Dog Centre, Westridge II, Rawalpindi</t>
  </si>
  <si>
    <t>Cell : 0332-4800868</t>
  </si>
  <si>
    <t>Sachai Garments</t>
  </si>
  <si>
    <t>Sachia Garments</t>
  </si>
  <si>
    <t>Daud</t>
  </si>
  <si>
    <t>SW=30K,Annual 12K,Lic Start 01-04-2018 (5K Cash Paid 26-02-2018)(March 185K thr Kaleem, 6500 from Printer Aqeel sb)(9K cash trh Kaleem 10-04-2018)</t>
  </si>
  <si>
    <t>SW=20 Lumsum (5K Cash 09-04-2018) If SMS SW=5K,Device= 4.5K(15K cash 11-04-2018)</t>
  </si>
  <si>
    <t>Server SW=60K,Per Shop=30K,License 500 Per Month Per Branch (24300 cash in my office 15-03-2018)(cash 93K 11-04-2018 extra 22800/- as per GM it will adjust in future)</t>
  </si>
  <si>
    <t>BrandCity City</t>
  </si>
  <si>
    <t>11-04-2018</t>
  </si>
  <si>
    <t>New Shop Satelite Town 45K,1500x9=13500 (cash 58500 thr Kaleem by Waqas 11-04-2018)</t>
  </si>
  <si>
    <t>12-04-2018</t>
  </si>
  <si>
    <t>Printer Receipt LabelXpert (Far better then given to Golra Shop)</t>
  </si>
  <si>
    <t xml:space="preserve">Receipt Roll 115/- x 100 </t>
  </si>
  <si>
    <t>Software</t>
  </si>
  <si>
    <t>License / Support (500/- x 6)</t>
  </si>
  <si>
    <t>Dell 960 Proc. 3.0Ghz C2D
RAM 4 GB
HD 160GB
DVD ROM
LED 17"  Branded (A+)
Keyboard + Mouse (A+)</t>
  </si>
  <si>
    <t>Jamil Sweets (Blue Area Shop) (12-04-2018) 051-2347071 Sarwar/Riffat</t>
  </si>
  <si>
    <t>Registry Writing etc</t>
  </si>
  <si>
    <t>JS Blue Area</t>
  </si>
  <si>
    <t>13-04-2018</t>
  </si>
  <si>
    <t xml:space="preserve">Muhammad Asad </t>
  </si>
  <si>
    <t>0322-8695536</t>
  </si>
  <si>
    <t>masoodurrahman</t>
  </si>
  <si>
    <t>Reg.Cell.No.0300-5139081</t>
  </si>
  <si>
    <t>14-04-2018</t>
  </si>
  <si>
    <t>16-04-2018 cash thr H Karim &amp; Sons</t>
  </si>
  <si>
    <t>17-04-2018</t>
  </si>
  <si>
    <t>16-04-2018</t>
  </si>
  <si>
    <t>15-04-2018</t>
  </si>
  <si>
    <t>18-04-2018</t>
  </si>
  <si>
    <t>SW=30K,Annual 12k (5K cash 15-02-2018 on shop)(30K cash at HTS Jamil 18-04-2018 and 5K Discount)</t>
  </si>
  <si>
    <t>19-04-2018</t>
  </si>
  <si>
    <t>B/F Balance from Farah Registry</t>
  </si>
  <si>
    <t>C.C. of Jabeen Baji Thr ABL</t>
  </si>
  <si>
    <t>C.C. of Jabeen Baji Thr BOP</t>
  </si>
  <si>
    <t>C.C. of Jabeen Baji Thr MBL</t>
  </si>
  <si>
    <t>SW=20K,Annual 6K,OnLine DB=10K,Monthly VPS 1400 (10K cash 12-03-2018)(15K cash 16-03-2018)(3K for OCR)(13900 Cash at my office 21-04-2018)</t>
  </si>
  <si>
    <t>21-04-2018</t>
  </si>
  <si>
    <t>22-04-2018</t>
  </si>
  <si>
    <t>C.C. of Jabeen Baji Thr Al-Falah</t>
  </si>
  <si>
    <t>Rehman Fabric</t>
  </si>
  <si>
    <t>TSC 244 Pro</t>
  </si>
  <si>
    <t>Samsung</t>
  </si>
  <si>
    <t>1 for Akbar sb</t>
  </si>
  <si>
    <t>Orbit Scanner</t>
  </si>
  <si>
    <t>Riben</t>
  </si>
  <si>
    <t>Label</t>
  </si>
  <si>
    <t>Thermal Roll</t>
  </si>
  <si>
    <t>23-04-2018 Cash my office</t>
  </si>
  <si>
    <t>23-04-2018</t>
  </si>
  <si>
    <t>Rehman Fabrics</t>
  </si>
  <si>
    <t>Taswar</t>
  </si>
  <si>
    <t>25-04-2018</t>
  </si>
  <si>
    <t>Tower Terminal</t>
  </si>
  <si>
    <t>Cash Given</t>
  </si>
  <si>
    <t>Kuwait Airways</t>
  </si>
  <si>
    <t>24-04-2018</t>
  </si>
  <si>
    <t>Salary System + Cheq</t>
  </si>
  <si>
    <t>SW=30K,License 3K for 6 Month</t>
  </si>
  <si>
    <t>13-11-2017=1Lac from Sajid, 21-11-1027=1Lac from Sajid,29/30-11-2017=1Lac from Sajid,05-12-2017=50K by hand Larka + Sweet in my off(20K by Shazad 31-03-2018 at my office)(12K by Shazad 25-04-2018 in my office)</t>
  </si>
  <si>
    <t>WOW Kids 3rd Shop</t>
  </si>
  <si>
    <t>23-04-2018 Minus from Gilgit 2k + Origin Kids 1k+printer Shahid alipur 1K</t>
  </si>
  <si>
    <t>PC=8000,LabelXpert Prnt=14500,Receipt Roll 115/- x 100=11500 (50K cash thr Kaleem 01-05-2018)</t>
  </si>
  <si>
    <t>License (12K MBL 02-05-2018)</t>
  </si>
  <si>
    <t>02-05-2018</t>
  </si>
  <si>
    <t>3 Receipt Printer Abt (02-05-2018)</t>
  </si>
  <si>
    <t>SW=33K,Lice 1K(May to Dec 2018)(40K MBL 02-05-2018)</t>
  </si>
  <si>
    <t>SW=30K,Annual 12K+15K Online+1K OnlineDB (15K online Meezan Bank on 12-02-2018)(15K online MBL 06-03-2018)(5K MBL 07-03-2018)(20K MBL 04-05-2018)</t>
  </si>
  <si>
    <t>Abdullah</t>
  </si>
  <si>
    <t>07-05-2018</t>
  </si>
  <si>
    <t>Star One (Moti Bazar)</t>
  </si>
  <si>
    <t>Receipt Printer</t>
  </si>
  <si>
    <t>Receipt Roll 50x125/-</t>
  </si>
  <si>
    <t>BarCode Printer</t>
  </si>
  <si>
    <t>Label 20x165/-</t>
  </si>
  <si>
    <t>Ribben 5x470/-</t>
  </si>
  <si>
    <t>License/Support</t>
  </si>
  <si>
    <t>Smart One</t>
  </si>
  <si>
    <t>Cash Given to Property Dealer (borrowed)</t>
  </si>
  <si>
    <t>09-05-2018</t>
  </si>
  <si>
    <t>Rcvd</t>
  </si>
  <si>
    <t>C.C. of Jabeen Baji Thr ABL (Bank Balance=94,467/-)</t>
  </si>
  <si>
    <t>10-05-2018</t>
  </si>
  <si>
    <t>C.C. of Jabeen Baji Thr ABL (Bank Balance=44,467/-)</t>
  </si>
  <si>
    <t>Given to Qamar</t>
  </si>
  <si>
    <t>Jamshed sb</t>
  </si>
  <si>
    <t>Sachai Garments+Jamil+260 Beuti Parlour+48100 Moti Bazar+2250 Jamshed</t>
  </si>
  <si>
    <t>Ba Libas</t>
  </si>
  <si>
    <t>Scheme 3</t>
  </si>
  <si>
    <t>12-05-2018</t>
  </si>
  <si>
    <t>SW=30K,Licesnce 12K,SMS Device+SMS 18K (60K Cash 12-05-2018)</t>
  </si>
  <si>
    <t>5K for Scheme 3</t>
  </si>
  <si>
    <t>16-05-2018</t>
  </si>
  <si>
    <t>C.C. of Jabeen Baji Thr ABL (Bank Balance=44,467/-) 50K Desposited by Baji</t>
  </si>
  <si>
    <t>License 01-01-2018 to 31-12-2018 (11K cash in off by Yasir)</t>
  </si>
  <si>
    <t>For the Month of Apri-2018</t>
  </si>
  <si>
    <t>No need to be noted bcz cash given again goods</t>
  </si>
  <si>
    <t>(20K Mall26 Jamshed BarCode+Thermal Prnt 26-05-2018)</t>
  </si>
  <si>
    <t>(150K Cash 09-04-2018 at Comm.Mrkt)(50K thr Kaleem)(50K cash 25-04-2018)(50K cash 05-05-2018 shop by Daud sb)(25K cash to Shanawz 25-05-2018)</t>
  </si>
  <si>
    <t>Sweet Palace</t>
  </si>
  <si>
    <t>26-05-2018</t>
  </si>
  <si>
    <t>For the Month of May-2018</t>
  </si>
  <si>
    <t>SW=40K,Licesen 12k,HW=62200(65K cash by Kaleem 07-05-2018)(10K cash by Kaleem 08-05-2018)(10K cash by Kaleem 09-05-2018)(10K cash by Kaleem 10-05-2018)(19200 cash by shanawaz on 01-06-2018)</t>
  </si>
  <si>
    <t>04-06-2018</t>
  </si>
  <si>
    <t>Zee Bank transferred from Baji Jabeen</t>
  </si>
  <si>
    <t>Milli Chapple Lahore</t>
  </si>
  <si>
    <t>06-06-2018</t>
  </si>
  <si>
    <t>6K License from 01-07-2018 to 31-12-2018,25K Attendance System</t>
  </si>
  <si>
    <t>SW=25k,Annual 12k (Start SW on Feb. Annual will start 01-03 to 31-12-2018=10K)(20K online MBL 12-04-2018)(10K online MBL 23-04-2018)(Online MBL 15000/- 07-06-2018 remaining 10K Bhai Shop adjusted)</t>
  </si>
  <si>
    <t>05-06-2018</t>
  </si>
  <si>
    <t>08-06-2018</t>
  </si>
  <si>
    <t>Previous Payment Ubaid sb Lahore MBL</t>
  </si>
  <si>
    <t>SW=30K,License 8K May-Dec (15K Cash 09-04-2018)(15K Cash 10-04-2018)(8K license MBL 06-06-2018)</t>
  </si>
  <si>
    <t>Murgh MasalaJat</t>
  </si>
  <si>
    <t>License 01-02-2018 to 28-02-2019(12K Cash MBL 13-03-2018)(12K Cash MBL 22-05-2018)(6K thr easypaisa 13-06-2018)(6K thr MBL 21-06-2018)</t>
  </si>
  <si>
    <t>Askari 14 Club</t>
  </si>
  <si>
    <t>Col Khalid Bashir</t>
  </si>
  <si>
    <t>21-06-2018</t>
  </si>
  <si>
    <t>5K Bowling,2K Al-Hilal Mill(4K Dr Anis Computer Repair cash)</t>
  </si>
  <si>
    <t>SH Abdul Majeed Namak</t>
  </si>
  <si>
    <t>20-06-2018</t>
  </si>
  <si>
    <t>6K License(4k Cash 20-06-2018)(2k Deduct Honey)</t>
  </si>
  <si>
    <t>SW=15K Shoes POS,6K Annual,10K Online(15K MBL 07-06-2018,5K Adjust previous balance)(19K MBL 26-06-2018)</t>
  </si>
  <si>
    <t>Inst.SW=8K,Lic 1K*9=9K (8K thr MBL 13-03-2018)(9K thr MBL 30-06-2018 Lic 01-04-2018 to 31-12-2018))</t>
  </si>
  <si>
    <t>Mansehra Tour 03-07-2018</t>
  </si>
  <si>
    <t>Roop Singhar</t>
  </si>
  <si>
    <t>Sajid</t>
  </si>
  <si>
    <t>Ghulam Muhammad</t>
  </si>
  <si>
    <t>Pak China Hosiery</t>
  </si>
  <si>
    <t>SW=30K,Annual 12K (sw=30k,12k License 01-07-2018 to 30-06-2019)</t>
  </si>
  <si>
    <t>Mega Store</t>
  </si>
  <si>
    <t>Hamza</t>
  </si>
  <si>
    <t>02-07-2018</t>
  </si>
  <si>
    <t>Lisence 01-07-2018 to 31-12-2018</t>
  </si>
  <si>
    <t>03-07-2018</t>
  </si>
  <si>
    <t>For the Month of June-2018</t>
  </si>
  <si>
    <t>Bata</t>
  </si>
  <si>
    <t>Chor Chowk</t>
  </si>
  <si>
    <t>04-07-2018</t>
  </si>
  <si>
    <t>Trial License (3K MBL 05-07-2018)</t>
  </si>
  <si>
    <t>Online Config 15k,7200 6month online Charges @1200/-(01-07-2018 to 31-12-2018) for internet (10K cash 03-07-2018)(12200 cash 06-07-2018)</t>
  </si>
  <si>
    <t>Haji Inayat (New setup)</t>
  </si>
  <si>
    <t>06-07-2018</t>
  </si>
  <si>
    <t>SW=30K,10K (SMS Device + SW),6k 01-07-2018 to 31-12-2018 (46K Cash 06-07-2018)</t>
  </si>
  <si>
    <t>Bata Family</t>
  </si>
  <si>
    <t>Afzal Haider</t>
  </si>
  <si>
    <t>Rawalakot</t>
  </si>
  <si>
    <t>Shoes POS SW=15k,6K Annual (15K Cash 06-07-2018 in office, Promise 6K on 15-10-2018)(Printer Given 8K Cash Rcvd)</t>
  </si>
  <si>
    <t>07-07-2018</t>
  </si>
  <si>
    <t>Lisence 01-07-2018 to 31-12-2018(6k EasyPaisa 07-07-2018)</t>
  </si>
  <si>
    <t>15-10-2018</t>
  </si>
  <si>
    <t>Bata Chakwal</t>
  </si>
  <si>
    <t>05-07-2018</t>
  </si>
  <si>
    <t>SW=14K,Annual 6K (400 cash 04-07-2018)(19600 Cash 11-07-2018 thr Umer on Yasir Shop)</t>
  </si>
  <si>
    <t>yasir bata(3100)(2500 Receipt Printer to Afzal Rawalakot,1k printer from Haji Inayat 06-07-2018)(500 bata chakri 07-07-2018)(3k 2 laptop configure bata chakwal 10-07)(400 pc config for Baba Shoes 11-07)</t>
  </si>
  <si>
    <t>6K License (01-07-2018 to 31-12-2018) + 8400 Online Database + 5k Previous Balance(8700 MBL 12-07-2018)(10700 against Plastic Carpet deducted 12-07-2018)</t>
  </si>
  <si>
    <t>12-07-2018</t>
  </si>
  <si>
    <t>Lisence 01-07-2018 to 31-12-2018(6k MBL 12-07-2018)</t>
  </si>
  <si>
    <t>14-07-2018</t>
  </si>
  <si>
    <t>Lisence 01-01-2018 to 31-12-2018(8k Cash 14-07-2018 )</t>
  </si>
  <si>
    <t xml:space="preserve">Haji Saeed Marwat &amp; Haji Saif </t>
  </si>
  <si>
    <t>Rehan</t>
  </si>
  <si>
    <t>16-07-2018</t>
  </si>
  <si>
    <t>New Name &amp; License (10K cash in office thr Rehan 16-07-2018)</t>
  </si>
  <si>
    <t>Annual License for 2 years 01-07-2018 to 30-06-2020)12K MBL 05-07-2018(12k MBL 21-07-2018)</t>
  </si>
  <si>
    <t>SW 60K,12K annual license (20K cash thr driver 08-06-2018)(52K cash 26-07-2018 cityhall by Umer)</t>
  </si>
  <si>
    <t>Lisence 01-07-2018 to 31-12-2018(6k EasyPaisa 27-07-2018)</t>
  </si>
  <si>
    <t>CMH Rwp</t>
  </si>
  <si>
    <t>27-07-2018</t>
  </si>
  <si>
    <t>Lisence 01-08-2018 to 31-01-2019(24k Chq 30-07-2018 Cleared )</t>
  </si>
  <si>
    <t>30-07-2018</t>
  </si>
  <si>
    <t>Lisence 01-07-2018 to 31-12-2018(6k MBL 30-07-2018)</t>
  </si>
  <si>
    <t>Modila Shoes</t>
  </si>
  <si>
    <t>Ahmad</t>
  </si>
  <si>
    <t>31-07-2018</t>
  </si>
  <si>
    <t>Price</t>
  </si>
  <si>
    <t>Qty</t>
  </si>
  <si>
    <t>Server=50K (Cash 01-08-2018 by Ahmed in our office)</t>
  </si>
  <si>
    <t>For the Month of July-2018</t>
  </si>
  <si>
    <t>01-08-2018</t>
  </si>
  <si>
    <t>Durable Construction Solution</t>
  </si>
  <si>
    <t>Ehsan</t>
  </si>
  <si>
    <t>03-08-2018</t>
  </si>
  <si>
    <t>SW=15K (5K Adv 03-08-2018) No Annual Charges, 1500/- Per Visit</t>
  </si>
  <si>
    <t>04-08-2018</t>
  </si>
  <si>
    <t>27000 cash given my office 02-05-2018 (22K direct given against 3 Receipt Printer for Abt)(50K by H.Karim 07-05-2018)(40k cash in my office where hisab checked(before 40K 111,110) 11-05-2018)(5K Com City Marriage Hall 15-05-2018)(13K Smart Watch)(25K from Sachai Garments 25-05-2018)(1500 from Jamshed sb 28-05-2018)(19200 cash from Smart One Moti bazar 01-06-2018)(2K Comm in Att. Device + 1K in Scanner HTS 09-06-2018)(840+240=Sajid, 600=Chakwal 06-08-2018)</t>
  </si>
  <si>
    <t>Sohail</t>
  </si>
  <si>
    <t>WAH</t>
  </si>
  <si>
    <t>AL MUSSAWAR TRAVEL &amp; TOURS (PVT) LTD</t>
  </si>
  <si>
    <t>SW=20K,License 12K (01-08-2018 to 31-07-2019) (32K MBL 06-08-2018)</t>
  </si>
  <si>
    <t>SW=30K,Annual 12K (6k 6month 01-07-2018 to 31-12-2018)(30K MBL 06-08-2018)</t>
  </si>
  <si>
    <t>Mega Brand Shoes 1</t>
  </si>
  <si>
    <t>Adnan</t>
  </si>
  <si>
    <t>07-08-2018</t>
  </si>
  <si>
    <t>Al-Maida Restaurant</t>
  </si>
  <si>
    <t>15K Annual License (01-08-2018 to 31-07-2019)(15K MBL 07-08-2018)</t>
  </si>
  <si>
    <t>(25K Server Modila 31-08-2018)(10K Modila Misc 08-08-2018)(1K cash service One Step khana 09-08-2018)(5500 Server Rahman Fabric 09-08-2018)</t>
  </si>
  <si>
    <t>09-08-2018</t>
  </si>
  <si>
    <t>6K License 01-07-18 to 30-06-2019 cash 09-08-2018</t>
  </si>
  <si>
    <t>SW=40K,Annual 16500/- (26-12-2017 14600/- against 500SAR)(09-01-2018 20K Meezan Bank)(08-03-2018 20K MBL)(5K cash by Ishaq my office 15-05-2018)(30K MBL 01-08-2018)(Rcvable Statement 2 6000/- Aug.2018)</t>
  </si>
  <si>
    <t>SW=30K,Annual 12K(34K MBL 20-08-2018, SW=30K,4K Lic=01-09-2018 to 31-12-2018 4Month)</t>
  </si>
  <si>
    <t>23-08-2018</t>
  </si>
  <si>
    <t>Thr C.C and given to Qamar (took payment for Qurbani but then given to Qamar for transfer to Aamir's inLaws)</t>
  </si>
  <si>
    <t>28-08-2018</t>
  </si>
  <si>
    <t>Transferred thr Jabeen Baji in my Bank</t>
  </si>
  <si>
    <t>29-08-2018</t>
  </si>
  <si>
    <t>Given to Qamar for Qurbani</t>
  </si>
  <si>
    <t>Vakho</t>
  </si>
  <si>
    <t>Geogia</t>
  </si>
  <si>
    <t>For the Month of Aug-2018</t>
  </si>
  <si>
    <t>03-09-2018</t>
  </si>
  <si>
    <t>Wifi Networking</t>
  </si>
  <si>
    <t xml:space="preserve">MH </t>
  </si>
  <si>
    <t>Bilal Garments</t>
  </si>
  <si>
    <t>Abduallah</t>
  </si>
  <si>
    <t>Saddar</t>
  </si>
  <si>
    <t>06-09-2018</t>
  </si>
  <si>
    <t>BlueBird</t>
  </si>
  <si>
    <t>07-09-2018</t>
  </si>
  <si>
    <t>13K Cash 07-09-2018 by waseem at his office (online Configuration Nayatel + remaing license for year)</t>
  </si>
  <si>
    <t>40K Chq MBL 11-09-2018 lic 01-07-2018 to 31-12-2018</t>
  </si>
  <si>
    <t>SW=40K,Licesen 600x12=7200,(Cash 40K by Ali on Shop 26-05-2018)(7200 cash from usman 12-09-2018)</t>
  </si>
  <si>
    <t>Yum Bakery</t>
  </si>
  <si>
    <t>Wah</t>
  </si>
  <si>
    <t>13-09-2018</t>
  </si>
  <si>
    <t>Expense</t>
  </si>
  <si>
    <t>Reason</t>
  </si>
  <si>
    <t>05-09-2018</t>
  </si>
  <si>
    <t>(cash 28600 04-08-2018 by Ahmed my office)(37400 cash Ahmad sb 16-08-2018)(36K before Eid need to confirm)(30K cash by Ahmed my office 12-09-2018)</t>
  </si>
  <si>
    <t>Income &amp; Loan</t>
  </si>
  <si>
    <t>Given to Khizer</t>
  </si>
  <si>
    <t>Stamp Paper</t>
  </si>
  <si>
    <t>Given Ex-Owner as advance</t>
  </si>
  <si>
    <t>Milli Shoes Giga</t>
  </si>
  <si>
    <t>Giga</t>
  </si>
  <si>
    <t>17-09-2018</t>
  </si>
  <si>
    <t>Mujtaba Loan</t>
  </si>
  <si>
    <t>SOLD Propert=1425,(475K 17-09-2018)</t>
  </si>
  <si>
    <t>CMH Multan</t>
  </si>
  <si>
    <t>Multan</t>
  </si>
  <si>
    <t>19-08-2018</t>
  </si>
  <si>
    <t>2nd Shop Install System (8k 19-09-2018 with discount 7k)</t>
  </si>
  <si>
    <t>Shazad</t>
  </si>
  <si>
    <t>Lic 01-10-2018 to 31-03-2019 (MBL 01-10-2018 Zee Software account)</t>
  </si>
  <si>
    <t>01-10-2018</t>
  </si>
  <si>
    <t>02-10-2018</t>
  </si>
  <si>
    <t>03-10-2018</t>
  </si>
  <si>
    <t>12K Lic Till 31-12-2018 Abid Children by Nadeem bhai (MCB 02-10-2018)</t>
  </si>
  <si>
    <t>Abid Children</t>
  </si>
  <si>
    <t xml:space="preserve">Nadeem </t>
  </si>
  <si>
    <t>Jehlam</t>
  </si>
  <si>
    <t>(30K MBL 03-10-2018)</t>
  </si>
  <si>
    <t>09-10-2018</t>
  </si>
  <si>
    <t>SW=35K,12K Annual (23K Cash office by Husnain 06-09-2018)(Remaining 04-10-2018)(24K Cash by Furqan 09-10-2018)</t>
  </si>
  <si>
    <t>Baba G</t>
  </si>
  <si>
    <t>Lic 01-10-2018 to 31-03-2019 (6K MBL 09-10-2018))</t>
  </si>
  <si>
    <t>(300K MBL 17-09-2018)(125K MBL 09-10-2018)</t>
  </si>
  <si>
    <t>Don't Know</t>
  </si>
  <si>
    <t>11-10-2018</t>
  </si>
  <si>
    <t>14-10-2018</t>
  </si>
  <si>
    <t>Naveed Shoes (New Shop)</t>
  </si>
  <si>
    <t>(2K Rehan Material System)</t>
  </si>
  <si>
    <t>Bilal Chemical</t>
  </si>
  <si>
    <t>Green Metro Cars</t>
  </si>
  <si>
    <t>ISB</t>
  </si>
  <si>
    <t>16-10-2018</t>
  </si>
  <si>
    <t>Basharat</t>
  </si>
  <si>
    <t>7777 -&gt; 22</t>
  </si>
  <si>
    <t>34599 -&gt; 3306</t>
  </si>
  <si>
    <t>8888 -&gt; 81</t>
  </si>
  <si>
    <t>waqar/waqar321</t>
  </si>
  <si>
    <t>Fateh Jang</t>
  </si>
  <si>
    <t>23-10-2018</t>
  </si>
  <si>
    <t>13-10-2018</t>
  </si>
  <si>
    <t>Tax</t>
  </si>
  <si>
    <t>Concealled UPS Line</t>
  </si>
  <si>
    <t>24-10-2018</t>
  </si>
  <si>
    <t>Sentinary Goods</t>
  </si>
  <si>
    <t>Cement + Crush + Sand</t>
  </si>
  <si>
    <t>22-10-2018</t>
  </si>
  <si>
    <t>25-10-2018</t>
  </si>
  <si>
    <t>Lic 01-10-2018 to 31-03-2019(15K Cash by Imran)</t>
  </si>
  <si>
    <t>Dr. Mansoor</t>
  </si>
  <si>
    <t>02-11-2018</t>
  </si>
  <si>
    <t>Lic 01-10-2018 to 30-09-2019(12K MBL)</t>
  </si>
  <si>
    <t>For the Month of Sep-2018</t>
  </si>
  <si>
    <t>For the Month of Oct-2018</t>
  </si>
  <si>
    <t>SW=90K,6K Lic Sep-2018 to 31-12-2018(17-09-2018)(20k 01-10-2018)(10K 14-10-2018)(15K 22-10-2018)(15K 29-10-2018 Me Shop)(5K cash 05-11-2018 1k Disc)</t>
  </si>
  <si>
    <t>Dr.Anees</t>
  </si>
  <si>
    <t>05-11-2018</t>
  </si>
  <si>
    <t>Lic 01-10-2018 to 31-03-2019(12K MBL 05-11-2018)</t>
  </si>
  <si>
    <t xml:space="preserve">For Cement 20 </t>
  </si>
  <si>
    <t>For Amjad sb Mazdoori</t>
  </si>
  <si>
    <t>06-11-2018</t>
  </si>
  <si>
    <t>08-11-2018</t>
  </si>
  <si>
    <t>For Iron (Chokhat Total=2 @3800/- 2@2800/-)</t>
  </si>
  <si>
    <t>Remaining Payment released</t>
  </si>
  <si>
    <t>Kadam (Sadam)</t>
  </si>
  <si>
    <t>SW=35K,Lic=12K (35K MBL,7K Cash 06-11-2018 at my office)</t>
  </si>
  <si>
    <t>SW=25K,Annual=12K,25K Online,6K Server Configure (Install Sep-2018)(25K cash 14-10-2018)(34K cash in front of Jamshed bhai 01-11-2018)</t>
  </si>
  <si>
    <t>09-11-2018</t>
  </si>
  <si>
    <t>Sand Troly</t>
  </si>
  <si>
    <t>For Sariya Shattering (Beam)</t>
  </si>
  <si>
    <t>11-11-2018</t>
  </si>
  <si>
    <t>Goods for Sanitary</t>
  </si>
  <si>
    <t>SOLD Property</t>
  </si>
  <si>
    <t>12-11-2018</t>
  </si>
  <si>
    <t>17-11-2018</t>
  </si>
  <si>
    <t>tiles etc Bill No.967 Rs.87276/-</t>
  </si>
  <si>
    <t>Cement=9000, Chips 10*70=700</t>
  </si>
  <si>
    <t>20-11-2018</t>
  </si>
  <si>
    <t>18-11-2018</t>
  </si>
  <si>
    <t>Given for Material(Sand=3800,Crush=1500=5300)</t>
  </si>
  <si>
    <t>tiles etc remaining Bill</t>
  </si>
  <si>
    <t>19-11-2018</t>
  </si>
  <si>
    <t>Floor + Kitchen Marble etc(18000/-)</t>
  </si>
  <si>
    <t>SW=50K,Lic 12K (25k MBL 29-10-2018)(32K MBL 20-11-2018)</t>
  </si>
  <si>
    <t>Attendance System SW=25K,Annual=6K (16K MBL 16-10-2018)(15k MBL 20-11-2018)</t>
  </si>
  <si>
    <t>Iron Gate</t>
  </si>
  <si>
    <t>22-11-2018</t>
  </si>
  <si>
    <t>Iron Material</t>
  </si>
  <si>
    <t>Sr.#</t>
  </si>
  <si>
    <t>Description</t>
  </si>
  <si>
    <t>PC (CPU+LCD+K+M)</t>
  </si>
  <si>
    <t>Printers HP LaserJet 1320</t>
  </si>
  <si>
    <t>UPS For PCs (APC 650va with Bat. '15 mnts Backup')</t>
  </si>
  <si>
    <t>UPS for Server (APC 1.5KVA w/o Bat.)</t>
  </si>
  <si>
    <t>Batteries Force JF1550</t>
  </si>
  <si>
    <t>Server HP Prolient DL380 Gen.6</t>
  </si>
  <si>
    <t xml:space="preserve">RAM=32GB, Hard Disk = </t>
  </si>
  <si>
    <t>Network Switch 5 Port</t>
  </si>
  <si>
    <t>Network Switch 24 Port</t>
  </si>
  <si>
    <t>Cable Cat-6</t>
  </si>
  <si>
    <t>Network Material (Saddle,Pipe,Ducks etc)</t>
  </si>
  <si>
    <t>Network Labour</t>
  </si>
  <si>
    <t>Server Configure (Linux -&gt; Ubuntu)</t>
  </si>
  <si>
    <t>Software for Server</t>
  </si>
  <si>
    <t>Software for Department</t>
  </si>
  <si>
    <t>License/Support (every 6 month)</t>
  </si>
  <si>
    <t>SMS Device + Software</t>
  </si>
  <si>
    <t>23-11-2018</t>
  </si>
  <si>
    <t>Trolly Gand=2000,Crush=800</t>
  </si>
  <si>
    <t>24-11-2018</t>
  </si>
  <si>
    <t>Electricity Goods=120,Sariya for Pariyan=2030</t>
  </si>
  <si>
    <t>Quotation = 23-11-2018</t>
  </si>
  <si>
    <t>Batteries Dry for 15 Mnts Backup</t>
  </si>
  <si>
    <t>RAM=32GB, Hard Disk = 500GB SCSI,1TB SATA</t>
  </si>
  <si>
    <t>PC (Dell 960, Processor=3.0 Ghz C2D</t>
  </si>
  <si>
    <t>LCD 17", Keyboard + Mouse (Branded)</t>
  </si>
  <si>
    <t>Network Switch 16 Port</t>
  </si>
  <si>
    <t>Cable Cat-6 Copper</t>
  </si>
  <si>
    <t>Quotation For Hardware (24-11-2018)</t>
  </si>
  <si>
    <t>Quotation For Software + Server (24-11-2018)</t>
  </si>
  <si>
    <t>25-11-2018</t>
  </si>
  <si>
    <t>Chakwal Stone=7600,Scurting=2000,Suzuki Rent=800</t>
  </si>
  <si>
    <t>Sariya for Main Door Shuttering+Ring for Kitchen Fan</t>
  </si>
  <si>
    <t>Lunch</t>
  </si>
  <si>
    <t>27-11-2018</t>
  </si>
  <si>
    <t>Cement 5x600=3000,Sand 1000</t>
  </si>
  <si>
    <t>Elect Goods=280(27-11-18)</t>
  </si>
  <si>
    <t>Elect Goods</t>
  </si>
  <si>
    <t>28-11-2018</t>
  </si>
  <si>
    <t>Additional Work Done (25-11-2018)</t>
  </si>
  <si>
    <t>CMH Kharian</t>
  </si>
  <si>
    <t>Col Safi Ullah</t>
  </si>
  <si>
    <t>Kharian</t>
  </si>
  <si>
    <t>Samosa+Jalebi</t>
  </si>
  <si>
    <t>29-11-2018</t>
  </si>
  <si>
    <t>01-12-2018</t>
  </si>
  <si>
    <t>License 01-12-2018 to 30-11-2019 24K</t>
  </si>
  <si>
    <t>Crush=800,Cement=3000</t>
  </si>
  <si>
    <t>Friends Traders</t>
  </si>
  <si>
    <t>by Zeeshan Sufi</t>
  </si>
  <si>
    <t>SW=10K (cash 10K 01-12-2018)</t>
  </si>
  <si>
    <t>02-12-2018</t>
  </si>
  <si>
    <t>Cement=4,Crush Suzuki,Chips=5</t>
  </si>
  <si>
    <t>Nashta+Kino</t>
  </si>
  <si>
    <t>Mazdoori Iron Work (Total = 6300/-)</t>
  </si>
  <si>
    <t>Mazdoori Iron Work for  2 Door 1 Jali Door (6000)</t>
  </si>
  <si>
    <t>New Water Motor</t>
  </si>
  <si>
    <t>Jamil Sweets (Rcv Dept)</t>
  </si>
  <si>
    <t>Uzair+Waqar</t>
  </si>
  <si>
    <t>03-12-2018</t>
  </si>
  <si>
    <t>Return from Tiles</t>
  </si>
  <si>
    <t>04-12-2018</t>
  </si>
  <si>
    <t>Plastic Paris=4Kg,Cement White=10Kg,Bulb=7</t>
  </si>
  <si>
    <t>05-12-2018</t>
  </si>
  <si>
    <t>Wood Goods for Carpentar</t>
  </si>
  <si>
    <t>08-12-2018</t>
  </si>
  <si>
    <t>Tiles extra</t>
  </si>
  <si>
    <t>Remaining Payment Iron Work</t>
  </si>
  <si>
    <t>16-12-2018</t>
  </si>
  <si>
    <t>Ceilling Mazdori</t>
  </si>
  <si>
    <t>17-12-2018</t>
  </si>
  <si>
    <t>PVC Patti for Wood Work</t>
  </si>
  <si>
    <t>Wood Labour 1st Installment</t>
  </si>
  <si>
    <t>SW=50K,25k Cash 15-12-2018</t>
  </si>
  <si>
    <t>21-12-2018</t>
  </si>
  <si>
    <t>Mazdoori Elect Nadeem</t>
  </si>
  <si>
    <t xml:space="preserve">Bhoora for Polish </t>
  </si>
  <si>
    <t>Total = 10500+7500=18000(20-12-2018) Electricity Mazdoori(Mazdoori = 2500 11-11-18, Mazdoori=8K 25-11-2018) (Total 2500-1500=1000)(Paid 5K 01-12-2018)(2K from me 2K from Mrs.)</t>
  </si>
  <si>
    <t>24-12-2018</t>
  </si>
  <si>
    <t>26-12-2018</t>
  </si>
  <si>
    <t>Atif</t>
  </si>
  <si>
    <t>27-12-2018</t>
  </si>
  <si>
    <t>Under Garments</t>
  </si>
  <si>
    <t>Sister Jehangir</t>
  </si>
  <si>
    <t>31-12-2018</t>
  </si>
  <si>
    <t>Licence 2019 -&gt; 12K (12k MBL 31-12-2018)</t>
  </si>
  <si>
    <t>Sufi Mirch House</t>
  </si>
  <si>
    <t>Khursid &amp; Sons Online</t>
  </si>
  <si>
    <t>Al Maida Restaurant</t>
  </si>
  <si>
    <t>For the Month of Nov-2018</t>
  </si>
  <si>
    <t>01-08-2019 to 31-12-2019 (5Month x 4 = 5000)</t>
  </si>
  <si>
    <t>Toys Shop</t>
  </si>
  <si>
    <t>30-12-2018</t>
  </si>
  <si>
    <t>01-01-2019 to 30-06-2019 (6K cash at client shop 30-12-2018)</t>
  </si>
  <si>
    <t>License 12K (MBL 12K 31-12-2018)</t>
  </si>
  <si>
    <t>Mandi Bahudin</t>
  </si>
  <si>
    <t>Walk IN</t>
  </si>
  <si>
    <t xml:space="preserve">Bata </t>
  </si>
  <si>
    <t xml:space="preserve">Faisal </t>
  </si>
  <si>
    <t>Rajabazar</t>
  </si>
  <si>
    <t>Sadiq Abad</t>
  </si>
  <si>
    <t>01-01-2019</t>
  </si>
  <si>
    <t>Moavia</t>
  </si>
  <si>
    <t>WOW Kids</t>
  </si>
  <si>
    <t>Abatabad</t>
  </si>
  <si>
    <t>SKS</t>
  </si>
  <si>
    <t>Naveed sb</t>
  </si>
  <si>
    <t>Bata Brand</t>
  </si>
  <si>
    <t>Stemar</t>
  </si>
  <si>
    <t>Shoes Gallery</t>
  </si>
  <si>
    <t>Moti Bazar</t>
  </si>
  <si>
    <t>Licence 2019 -&gt; 12K (Cash Rcvd 12k thr Pervez sb 01-01-2019)</t>
  </si>
  <si>
    <t>Hazara Express Travel &amp; Tours</t>
  </si>
  <si>
    <t>02-01-2019</t>
  </si>
  <si>
    <t>Haji Inayat Building</t>
  </si>
  <si>
    <t xml:space="preserve">Haji Inayat </t>
  </si>
  <si>
    <t>VPS 1400x12=16800 (MBL 16800/- 02-01-2019)</t>
  </si>
  <si>
    <t>License 6 Month (MBL 6K 02-01-2019)</t>
  </si>
  <si>
    <t xml:space="preserve">Servis Shoe Mart  </t>
  </si>
  <si>
    <t>New Deal 15K From Company and 5K from himself (3 Shops)(20K MBL 02-01-2019)</t>
  </si>
  <si>
    <t>License 2019-&gt; 12K  (Cash 12k from Sajid Sweet House 01-01-2019 Razi sb)</t>
  </si>
  <si>
    <t>SW=25K,Annual 12K only For Kamra (25K MBL 12-09-2018)(12K MBL 11-10-2018)</t>
  </si>
  <si>
    <t>License 2019-&gt; 12K (12K cash 03-01-2019)</t>
  </si>
  <si>
    <t>License 01-01-2019 to 31-12-2019 (12K cash shop 03-01-2019)</t>
  </si>
  <si>
    <t>License 2019-&gt;11k (Haji sb said deduct 5 month of 2018)(11K cash 03-01-2018)</t>
  </si>
  <si>
    <t>Punjab Cash &amp; Carry</t>
  </si>
  <si>
    <t>Dr.Arshad</t>
  </si>
  <si>
    <t>03-01-2019</t>
  </si>
  <si>
    <t>04-01-2019</t>
  </si>
  <si>
    <t>BarCode</t>
  </si>
  <si>
    <t>License 01-01-2018 to 30-06-2018 (6K easypaisa 04-01-2019)</t>
  </si>
  <si>
    <t>Delhi Crockery</t>
  </si>
  <si>
    <t>Jamal</t>
  </si>
  <si>
    <t>05-01-2019</t>
  </si>
  <si>
    <t>SW Amendmend 5K cash office by Waheed 05-01-2019 (Invoice + A5 Print Out)</t>
  </si>
  <si>
    <t>goods payment to Saghir (Total 20K)</t>
  </si>
  <si>
    <t>Mazdori Tiles Polish</t>
  </si>
  <si>
    <t>Paint + Acrolyic 2 Kg</t>
  </si>
  <si>
    <t>06-01-2019</t>
  </si>
  <si>
    <t>Mazdoori Painter Mukhtiar</t>
  </si>
  <si>
    <t>Paint ICI</t>
  </si>
  <si>
    <t>Electricity Goods</t>
  </si>
  <si>
    <t>Laon From Shanawaz (Return on Death of Elder Brother)</t>
  </si>
  <si>
    <t>Given Ex-Owner as remaining</t>
  </si>
  <si>
    <t>Stamp Paper For Registry</t>
  </si>
  <si>
    <t>License 2019-&gt; 12K (12K Cash thr Chacha Jamil 07-01-2019)</t>
  </si>
  <si>
    <t>Bhakkar</t>
  </si>
  <si>
    <t>08-01-2019</t>
  </si>
  <si>
    <t>License 2019-&gt; 12K (12K MBL 08-01-2019)</t>
  </si>
  <si>
    <t>Yasir by Faisal</t>
  </si>
  <si>
    <t>License 01-12-2018 to 31-12-2019 (13K Cash thr Chacha Jamil)</t>
  </si>
  <si>
    <t>09-01-2019</t>
  </si>
  <si>
    <t>License 2019 -&gt; 12K, VPS 1400x12=16800 Total 28800/- (28800 cash Asim 09-01-2019)</t>
  </si>
  <si>
    <t>10-01-2019</t>
  </si>
  <si>
    <t>Faisal Flex</t>
  </si>
  <si>
    <t>License 6Month + VSP 1200x6=7200 (28800/- by Asim cash 10-01-2019)</t>
  </si>
  <si>
    <t>11-01-2019</t>
  </si>
  <si>
    <t>Paint 3 ICI One Galen + 100 Petrol</t>
  </si>
  <si>
    <t>15-01-2019</t>
  </si>
  <si>
    <t>PrimeOn 2*350=700,400 repl of distemper with emulsion+100 1 gallon for groud floor yellowish</t>
  </si>
  <si>
    <t>License 2019-&gt;8 Shops + 1 Head Office(cash 13-01-2019 head office)</t>
  </si>
  <si>
    <t>SW 140K (Maintenance 5K on Query)(3 Month Free Service)(75K cash thr bank 22-06-2018)(75K waved off</t>
  </si>
  <si>
    <t>License 2019-&gt; 12K (Hussain sb abroad)(online MBL date not remember)</t>
  </si>
  <si>
    <t>One Step</t>
  </si>
  <si>
    <t>saleem</t>
  </si>
  <si>
    <t>Khana Pul</t>
  </si>
  <si>
    <t>Al-Maida Rooms Software</t>
  </si>
  <si>
    <t>17-01-2019</t>
  </si>
  <si>
    <t>Old VPS=8*1400=11200,License 2019=6000,VPS 2019=16800(20K Cash 18-01-2019 VSP Jan-Mar 3Month)Discount=1400</t>
  </si>
  <si>
    <t>20-01-2019</t>
  </si>
  <si>
    <t>2500 Color+Piper for Curtains, 500 Wood for Door</t>
  </si>
  <si>
    <t>22-01-2019</t>
  </si>
  <si>
    <t>YUM</t>
  </si>
  <si>
    <t>HTS Sialkot</t>
  </si>
  <si>
    <t>Zahid</t>
  </si>
  <si>
    <t>Sialkot</t>
  </si>
  <si>
    <t>24-01-2019</t>
  </si>
  <si>
    <t>23-01-2019</t>
  </si>
  <si>
    <t>4K Mazdoori to Nadeem Carpentar</t>
  </si>
  <si>
    <t>Given to Nadeem for (Rent Suzuki + Wood purchase)(600 More 23-01-2019)</t>
  </si>
  <si>
    <t>Naseem Hardware Goods for Wood work</t>
  </si>
  <si>
    <t>25-01-209</t>
  </si>
  <si>
    <t>Rent for Compressor (Color for main Gate)</t>
  </si>
  <si>
    <t>No Remember</t>
  </si>
  <si>
    <t>25-01-2019</t>
  </si>
  <si>
    <t>27-01-2019</t>
  </si>
  <si>
    <t>Varnish etc</t>
  </si>
  <si>
    <t>4 Set for wash room Super Asia</t>
  </si>
  <si>
    <t>Misc Goods Wash room</t>
  </si>
  <si>
    <t>Goods for Wood</t>
  </si>
  <si>
    <t>Kitchen sink glue</t>
  </si>
  <si>
    <t>29-01-2019</t>
  </si>
  <si>
    <t>Gola for Glass</t>
  </si>
  <si>
    <t>Mazdoori for Garden (1000 Balance)</t>
  </si>
  <si>
    <t>License 2019-&gt; 12K (Rcvd thr Shahnawaz 25-01-2019)</t>
  </si>
  <si>
    <t>Rcvd=115000</t>
  </si>
  <si>
    <t>License 12K 2019+VPS 1200x12=14400 Total=26400/-(14400/- MBL 03-01-2019)(12K MBL 29-01-2019)</t>
  </si>
  <si>
    <t>For the Month of Jan-2019</t>
  </si>
  <si>
    <t>For the Month of Dec-2018</t>
  </si>
  <si>
    <t>License 2019-&gt;6K  (6K MBL 01-02-2019)</t>
  </si>
  <si>
    <t>BarCode SW=13K (2K Cash 04-01-2019)(11K)</t>
  </si>
  <si>
    <t>02-02-2019</t>
  </si>
  <si>
    <t>Goods for Wood work</t>
  </si>
  <si>
    <t>Fare Suzuki wood goods</t>
  </si>
  <si>
    <t>2 Shops + 1 Head Office (3000*12=36000/-)(6K Previous Server rebuilt)(24K cash 02-02-2019)</t>
  </si>
  <si>
    <t>04-02-2019</t>
  </si>
  <si>
    <t xml:space="preserve">CMH </t>
  </si>
  <si>
    <t>License 2019-&gt; 12K (24K cash by Jamil chacha 06-02-2019)</t>
  </si>
  <si>
    <t>Lic 01-01-2019 to 30-06-2019(40K MBL 04-02-2019)</t>
  </si>
  <si>
    <t>Lic 2019 (MBL 6K 30-01-2019)</t>
  </si>
  <si>
    <t>Zenmar</t>
  </si>
  <si>
    <t>07-02-2019</t>
  </si>
  <si>
    <t>06-02-2019</t>
  </si>
  <si>
    <t>12K Mazdoori to Nadeem Carpentar</t>
  </si>
  <si>
    <t>License 2019-&gt; 12K (12K Cash 11-02-2019)</t>
  </si>
  <si>
    <t>Lic-2019</t>
  </si>
  <si>
    <t>Lic 01-01-2019 to 30-06-2019+5K Wifi Work(29K MBL 15-02-2019)</t>
  </si>
  <si>
    <t>17-02-2019</t>
  </si>
  <si>
    <t>Lic 2019 (12K Cash at Shop 17-02-2019)</t>
  </si>
  <si>
    <t>License 2019-&gt; 12K (cash 19-02-2019)</t>
  </si>
  <si>
    <t>Lic 30-05-2020 from Feb-2019(16800 MBL 18-02-2019)</t>
  </si>
  <si>
    <t>25-02-2019</t>
  </si>
  <si>
    <t>(4500 Training Haji Inayat sb Building)</t>
  </si>
  <si>
    <t>License 6 Month(JazzCash 18-Feb-2019 Approx)</t>
  </si>
  <si>
    <t>License 2019-&gt; 24K (Shop + Warehouse)(12K MBL 12-02-2019)(12K MBL 28-02-2019)</t>
  </si>
  <si>
    <t>6K Server for American 15-09-2018(rcvd Jan-2019),Rehan Material Server 1500/- 17-09-2018(800 config PC HTS Adyala)</t>
  </si>
  <si>
    <t>Lic 2019 (24K MBL 24-01-2019) 12K have to return Jamshed sb for Previous Year Charges. And adjusted.</t>
  </si>
  <si>
    <t>02-03-2019</t>
  </si>
  <si>
    <t>Wah SW=50K,Lic Feb-Dec19=11K,Refreshmend=25K,HassanAbdal SW=50K,Lic Feb-Dec19=11K,Refreshmend=25K,7K Server Ubuntu (22K Cash 22-01-2019)(20K MBL 26-01-2019)(25k Cash my off 04-02-2019)(20K Cash off 06-02-2019)(20K cash off 09-02-2019)(20K MBL 15-02-2019)(15K MBL 19-02-2019)(15K 23-02-2019 MBL)(22K MBL 02-03-2019)</t>
  </si>
  <si>
    <t>Lic 31-12-2019 (Despatch + Rcv Software @6000/- each)(6K 2-3-2019)</t>
  </si>
  <si>
    <t xml:space="preserve">Baba Shoes </t>
  </si>
  <si>
    <t xml:space="preserve">Rashid </t>
  </si>
  <si>
    <t>Aabpara</t>
  </si>
  <si>
    <t>09-03-2019</t>
  </si>
  <si>
    <t>SW=30K,Annual 12K (36K Cash 09-03-2019 …6K License for 6 Month)</t>
  </si>
  <si>
    <t>Haider by Syed Waqar</t>
  </si>
  <si>
    <r>
      <t>Server 115K (115K Cash Isb Branch 04-01-2019)</t>
    </r>
    <r>
      <rPr>
        <b/>
        <sz val="11"/>
        <color rgb="FFFF0000"/>
        <rFont val="Calibri"/>
        <family val="2"/>
        <scheme val="minor"/>
      </rPr>
      <t>(Dead)</t>
    </r>
  </si>
  <si>
    <t>12-03-2019</t>
  </si>
  <si>
    <t>Umair Air &amp; Travel</t>
  </si>
  <si>
    <t>Batgram</t>
  </si>
  <si>
    <t>Umair</t>
  </si>
  <si>
    <t>14-03-2019</t>
  </si>
  <si>
    <t>SW=20K,Annual 12K (29K MBL 14-03-2019 20K=SW,9K=April=Dec2019)</t>
  </si>
  <si>
    <t>Metro Shoes</t>
  </si>
  <si>
    <t>Zameer</t>
  </si>
  <si>
    <t>Kahuta</t>
  </si>
  <si>
    <t>19-03-2019</t>
  </si>
  <si>
    <t>For the Month of Feb-2019</t>
  </si>
  <si>
    <t>Get Going</t>
  </si>
  <si>
    <t>SW=30K,Annual=12k,VPS=15K,VPS Annual=14400,Att.Sys=25K (100K MBL 09-03-2019)(75K Cash Jehlum 25-03-2019)</t>
  </si>
  <si>
    <t>License 2019-&gt; 167700 (Discontinued due to developed own software)</t>
  </si>
  <si>
    <t>Baba Shoes 2</t>
  </si>
  <si>
    <t>28-03-2019</t>
  </si>
  <si>
    <t>7050 HW at Baba Shoes 09-03-2019,6K Touch System YUM 13-03-2019,4K Ali Milli Shoes Server Config.</t>
  </si>
  <si>
    <t>License 12K 2019+VPS 1200x12=14400 Total=26400/-(10K given to Plumber)</t>
  </si>
  <si>
    <t>SW=30K,Annual 12K (30K Cash 15-10-2018)(Rcvd after 3 Month)</t>
  </si>
  <si>
    <t>Licence 2019- 1.5x4=6x12=72K,20K Closing Software Feb-2019  (30K by Shazad 04-01-2019)(30K by Shazad 29-01-2019)(12K by Mehran 19-03-2019)(20K by Mehran 01-04-2019)</t>
  </si>
  <si>
    <t>For the Month of Mar-2019</t>
  </si>
  <si>
    <t>02-04-2019</t>
  </si>
  <si>
    <t>S. S. Ghulam Hussain</t>
  </si>
  <si>
    <t>Abottabad</t>
  </si>
  <si>
    <t>Lic 31-03-2020 12K (MBL 12K Zee Software 2-4-2019)</t>
  </si>
  <si>
    <t>SW=30K,Annual 12K (20K Cash 28-03-2019 …6K License for 6 Month)(16K cash 02-04-2019)</t>
  </si>
  <si>
    <t>Sadiq Samosa &amp; Refreshment</t>
  </si>
  <si>
    <t>Ch Asghar</t>
  </si>
  <si>
    <t>03-04-2019</t>
  </si>
  <si>
    <t>Lic 31-03-2020 12K(12K MBL 02-04-2019)</t>
  </si>
  <si>
    <t>01-04-2019</t>
  </si>
  <si>
    <t>08-04-2019</t>
  </si>
  <si>
    <t>F-10</t>
  </si>
  <si>
    <t>10-04-2019</t>
  </si>
  <si>
    <t>Online SW=150K,IceCream=10K,Annual=6k (30K MBL 12-03-2019)(15K cash 13-3-2019 IceCream Clear)(20K MBL 15-03-2019)(15K MBL 18-03-2019)(40K MBL 05-04-2019)(45K Cash 11-04-2019)</t>
  </si>
  <si>
    <t>YUM Accounts + Inventory</t>
  </si>
  <si>
    <t>11-04-2019</t>
  </si>
  <si>
    <t>License 2019-&gt;10 Shops(1Lakh cash 9-02-2019)(8k 20-04-2019 cash to Naeem)</t>
  </si>
  <si>
    <t>Lic 01-04-2019 to 30-09-2019(6K cash 20-04-2019)</t>
  </si>
  <si>
    <t>Park Road</t>
  </si>
  <si>
    <t>Dr.Anis</t>
  </si>
  <si>
    <t>23-04-2019</t>
  </si>
  <si>
    <t>Lic 01-04-2019 to 30-09-2019(12K MBL 24-04-2019)</t>
  </si>
  <si>
    <t>Sale House</t>
  </si>
  <si>
    <t>24-04-2019</t>
  </si>
  <si>
    <t>Ghani Server 6K,700 Mansehra System,3270 Asad Wah Hardware</t>
  </si>
  <si>
    <t>Bake Oven</t>
  </si>
  <si>
    <t>Geo Village Atta Chakki</t>
  </si>
  <si>
    <t>Abullah</t>
  </si>
  <si>
    <t>26-04-2019</t>
  </si>
  <si>
    <t>Meat Dukan</t>
  </si>
  <si>
    <t>Rana Fayyaz</t>
  </si>
  <si>
    <t>SW=50K,Annual=12K (25K Adv Cash 17-01-2019)(25K Cash 30-04-2019)</t>
  </si>
  <si>
    <t>License 2019-&gt;12K (2k MBL 15-01-2019)(2K MBL 16-01-2019)(Adj PC 7000/-)(1K MBL April 2019)</t>
  </si>
  <si>
    <t>MBL 248500 20-12-2018 (Cleared All Dues</t>
  </si>
  <si>
    <t>For the Month of April-2019</t>
  </si>
  <si>
    <t>Lic 30-09-2019 6Month (10800 MBL 04-05-2019)</t>
  </si>
  <si>
    <t>VPS=12K,1200x12=14400,(12K Cash 10-04-2019)(10800 MBL 04-05-2019)Total 2 Shops=21600 MBL</t>
  </si>
  <si>
    <t>SW=15K POS,6K Annual,Hardware=52110,Total=73110/- (25K MBL 25-04-2019)(15K for SW MBL 03-05-2019)</t>
  </si>
  <si>
    <t>CMH Mangla</t>
  </si>
  <si>
    <t>Ghaffar</t>
  </si>
  <si>
    <t>Mangle</t>
  </si>
  <si>
    <t>06-05-2019</t>
  </si>
  <si>
    <t>SW=25K,Annual 6K(Cash 5K 20-04-2019)(20K cash 07-05-2019)</t>
  </si>
  <si>
    <t>08-05-2019</t>
  </si>
  <si>
    <t>Lic Yearly (12K MBL 08-05-2019)</t>
  </si>
  <si>
    <t>Imran Shiekh</t>
  </si>
  <si>
    <t>10-05-2019</t>
  </si>
  <si>
    <t>PK78ABP0010022150180034</t>
  </si>
  <si>
    <t>Farooq Peshawar</t>
  </si>
  <si>
    <t>Server Backup USB=15k,Data Extract Server=6000(14K 13-05-2019 cash H Karim)</t>
  </si>
  <si>
    <t>13-05-2019</t>
  </si>
  <si>
    <t>Lic 6Month 01-04-2019 to 30-09-2019 (12K cash by Imran 13-05-2019 3K Deduct for Hall Charges)</t>
  </si>
  <si>
    <t>Klara Shoes</t>
  </si>
  <si>
    <t>Faisalabad</t>
  </si>
  <si>
    <t>14-05-2019</t>
  </si>
  <si>
    <t>Zunair sb Samndri repair DB=3K(3K MBL 15-05-2019)</t>
  </si>
  <si>
    <t>Licence 2019- 1.5x4=6x12=72K,20K Closing Software Feb-2019 (60K cash thr Nadeem 31-12-2018)(5K cash 15-03-2019)(5K cash 22-03-2019)(10K cash 06-04-2019)(5K May-19)(7K cash 20-05-2019)</t>
  </si>
  <si>
    <t>SW=130K,Lic=40K,Server=9K,PC Configure2x3500=7K,WorkStation=35K(1Lac MBL 08-05-2019)(114K MBL 23-05-2019)</t>
  </si>
  <si>
    <t>25-05-2019</t>
  </si>
  <si>
    <t>Alina Foods</t>
  </si>
  <si>
    <t>Sohrab</t>
  </si>
  <si>
    <t>30-05-2019</t>
  </si>
  <si>
    <t>29-05-2019</t>
  </si>
  <si>
    <t>Jolly Shoes (Chakri Log)</t>
  </si>
  <si>
    <t>Sweet Palace Bahria</t>
  </si>
  <si>
    <t>YUM YFC + Bakery + Refresh</t>
  </si>
  <si>
    <t>Accounts=40K,Purchase=20K,Transfer Stock=20K,SMS=35K,Annual 1500x8=12K,20K SW Refresh Kamra Branch,6K Annual(30K 20-04-2019 MBL)(30K 29-04-2019 MBL)(25K MBL 04-05-2019)(20K MBL 20-05-2019)(50K by Hamza Cash 01-06-2019)</t>
  </si>
  <si>
    <t>02-06-2019</t>
  </si>
  <si>
    <t>KandSon Till May-2020=16800,Hbstraders Jan-19 to May-19=7000 @ 1400 Per Month</t>
  </si>
  <si>
    <t>SW=19K,Annual=6K (10K MBL 14-05-2019)(14550 thr EasyPaisa 02-06-2019)</t>
  </si>
  <si>
    <t>For the Month of May-2019</t>
  </si>
  <si>
    <t>10-06-2019</t>
  </si>
  <si>
    <t>Bilal / Yasir</t>
  </si>
  <si>
    <t>Lic Till 30-04-2020 12K</t>
  </si>
  <si>
    <t>14-06-2019</t>
  </si>
  <si>
    <t>Annual 600x12=7200(Cash from shop 22-06-2019 Lic Till 30-05-2020)</t>
  </si>
  <si>
    <t>Asad</t>
  </si>
  <si>
    <t>Towel Terminal</t>
  </si>
  <si>
    <t>28-06-2019</t>
  </si>
  <si>
    <t>Lic 01-07-2019 to 30-06-2020</t>
  </si>
  <si>
    <t xml:space="preserve">Atalian Shoes </t>
  </si>
  <si>
    <t>30-06-2019</t>
  </si>
  <si>
    <t>Lic 01-07-2019 to 31-12-2019 (EasyPaisa 6K 30-06-2019)</t>
  </si>
  <si>
    <t>Asalan</t>
  </si>
  <si>
    <t>Munir Toys</t>
  </si>
  <si>
    <t>01-07-2019</t>
  </si>
  <si>
    <t>Lic 01-07-2019 to 31-12-2019 (MBL 6k 01-07-2019)</t>
  </si>
  <si>
    <t>For the Month of June-2019</t>
  </si>
  <si>
    <t>03-07-2019</t>
  </si>
  <si>
    <t>Lice 01-07-2019 to 31-12-2019 (MBL 6K 03-07-2019</t>
  </si>
  <si>
    <t>A.B. Traders</t>
  </si>
  <si>
    <t>Basit</t>
  </si>
  <si>
    <t>Attock</t>
  </si>
  <si>
    <t>Offline SW=35K,Annual=12K (Adv 10K cash attock 03-07-2019)</t>
  </si>
  <si>
    <t>Cmdt</t>
  </si>
  <si>
    <t>02-07-2019</t>
  </si>
  <si>
    <t>04-07-2019</t>
  </si>
  <si>
    <t>Lic 01-07-2019 to 31-12-2019</t>
  </si>
  <si>
    <t>Ahmed</t>
  </si>
  <si>
    <t>License 01-01-2019 to 31-12-2019  (50K)+ VPS 1400/- x 12 = 16800/- Total 66800/- (66800/- MBL 03-01-2019)</t>
  </si>
  <si>
    <t>BakeOven</t>
  </si>
  <si>
    <t>Sh Noman</t>
  </si>
  <si>
    <t>09-07-2019</t>
  </si>
  <si>
    <t>Lice 6Month (MBL 11-07-2019)</t>
  </si>
  <si>
    <t>Lic 01-07-2019 to 31-12-2019 (Cash 11-07-2019)</t>
  </si>
  <si>
    <t>Georgia</t>
  </si>
  <si>
    <t>15-07-2019</t>
  </si>
  <si>
    <t>Murgh Brand</t>
  </si>
  <si>
    <t>Ch Foods</t>
  </si>
  <si>
    <t>SW=58K,Annual=12000 (50K Cash by Sohrab MCB Bank 30-05-2019)(20K by Azher July-2019)</t>
  </si>
  <si>
    <t>Mukhtar</t>
  </si>
  <si>
    <t>26-07-2019</t>
  </si>
  <si>
    <t>Lic 01-07-2019 to 31-12-2019(40K MBL 10/12Jul)</t>
  </si>
  <si>
    <t>Usama</t>
  </si>
  <si>
    <t>Sarban Travels</t>
  </si>
  <si>
    <t>Server 75K (Actual 31K) (50K cash 09-07-2019)(25K July cash from sch.3)</t>
  </si>
  <si>
    <t>For the Month of July-2019</t>
  </si>
  <si>
    <t>SW=20K (20M MBL 01-08-2019) Ref by Masoodsb SS Ghulam</t>
  </si>
  <si>
    <t>YUM Online for 3 Month</t>
  </si>
  <si>
    <t>VPS Per month 1500*10=15000x3=45K (45K 10/11 June 2019)(10-06-2019 Started YFC Gledg, 09-09-2019 End)</t>
  </si>
  <si>
    <t>Punjab Oil Mills</t>
  </si>
  <si>
    <t>Alamgir/Faraz</t>
  </si>
  <si>
    <t>03-08-2019</t>
  </si>
  <si>
    <t>Updt=50K(25K by Ijaz 29-08-2019)(25K by Imran 05-08-2019)</t>
  </si>
  <si>
    <t xml:space="preserve">Bata Shoes </t>
  </si>
  <si>
    <t>Dream PCU</t>
  </si>
  <si>
    <t>POS SW=40Kx2=80K,Annual=7200x2=14400 (85K Cash at Shop 07-08-2019)</t>
  </si>
  <si>
    <t>Rasheed Sweets</t>
  </si>
  <si>
    <t>Zulfiqar(Azher)</t>
  </si>
  <si>
    <t>Cash 40K (18-07-2019 Food St. Dbl Road by Shahid)(50K MBL 16-08-2019)</t>
  </si>
  <si>
    <t>Lic 01-08-2019 to 31-03-2020 (24KMBL 16-08-2019)</t>
  </si>
  <si>
    <t>Lic 01-07-2019 to 31-12-2019(eash paisa 19-08-2019 6K)</t>
  </si>
  <si>
    <t>Smart Garments</t>
  </si>
  <si>
    <t>Lic Till 31-07-2019(12K cash 19-08-2019)</t>
  </si>
  <si>
    <t>19-18-2019</t>
  </si>
  <si>
    <t>SW=45K(Sweets+Refresh+Take.Away) Promise 05-08-2019 by Azher (45K Zebi 21-08-2019)(Starting ma 20K ka promise tha phir 15K per ho gya…wow)</t>
  </si>
  <si>
    <t>SW=25K,Annual=12K (Started 06-08-2019)(10K 11-08-2019)(27K cash by Chacha Jamil 27-08-2019)</t>
  </si>
  <si>
    <t>SW=40K Online,Annual=12K,VPS=15K,Annual=1200x12=14400 (27K Cash by Zebi 25-05-2019)(SW=37k POS,Annual=12K Deal with Waqas sb)(50K Cash 07-08-2019 for Bahria-7 &amp; Commericial)(53K cash 11-08-2019 by Maroof Com. Opening Day)(Bahria 7 Shop Closed:14-08-2019 and SW shifted Bostan Rd Rs.15000/-)(65K SW For Acct+Invt Etc,18K Annual Charges)(37K Garison+12k Annual)(70K cash comm shop 27-08-2019 babar Devices 2x12=24000,37K SW=Garisson,9K Annual)</t>
  </si>
  <si>
    <t>Lic 15-07-2019 to 14-07-2020 (02-09-2019)</t>
  </si>
  <si>
    <t>For the Month of Aug-2019</t>
  </si>
  <si>
    <t>Aamir Intl Travel</t>
  </si>
  <si>
    <t>Aamir</t>
  </si>
  <si>
    <t>SW=0,Annual 12K (4K MBL 06-09-2019 Lice Till 31-12-2019)</t>
  </si>
  <si>
    <t>Morning Bread</t>
  </si>
  <si>
    <t>04-09-2019</t>
  </si>
  <si>
    <t>06-09-2019</t>
  </si>
  <si>
    <t>(SW=5x20,000/- Annual 1000/- x 12 x 5 = 60000/- (Online Meezan 15-01-2018 50K) (2 Shop Working 01-01-2018 Haripur + FrashPur)(Sadiq Abad Shop working 08-03-2018)(50K Cash 23-04-2018 at my office)(Shop 24-04-2018 started)(50K MBL 16-08-2019)</t>
  </si>
  <si>
    <t>50K Meezan Bank -&gt; Whatsapp (06-09-2019)</t>
  </si>
  <si>
    <t>VPS Per month 1500*10=15000x3=45K From 09-09-2019 to 08-12-2019 (45K MBL 07-09-2019)</t>
  </si>
  <si>
    <t>Mandra</t>
  </si>
  <si>
    <t>17-09-2019</t>
  </si>
  <si>
    <t>10K Additional Update (10K by Azher 16-09-2019)</t>
  </si>
  <si>
    <t>2 PC for Azher (Mustaqeem)(3500 Jamil Sweet PC Set 14-09-2019)(7K from Shahid Chakwal 24-09-2019)</t>
  </si>
  <si>
    <t>14-09-2009</t>
  </si>
  <si>
    <t>25-09-2019 Zeeshan sb ne update karwaya</t>
  </si>
  <si>
    <t>Lic Till 28-02-2020)(45K cash by Ahmed Ali 24-09-2019)(3K Discounted by Deputy Sb. Col sb)</t>
  </si>
  <si>
    <t>Gilgit Store</t>
  </si>
  <si>
    <t>Car Chowk Naeem</t>
  </si>
  <si>
    <t>27-09-2019</t>
  </si>
  <si>
    <t>SW=15,Monthly=700 (5K cash by naeem 28-09-2019)</t>
  </si>
  <si>
    <t>RCCI</t>
  </si>
  <si>
    <t>Configure File Server=37200,Server 7500 (MBL Zee Software Sep.2019)</t>
  </si>
  <si>
    <t>Baba Shoes Aabpara</t>
  </si>
  <si>
    <t>05-10-2019</t>
  </si>
  <si>
    <t>2 Shops 6 Month Lic Till 31-03-2020 (12K MBL 05-10-2019)</t>
  </si>
  <si>
    <t>07-10-2019</t>
  </si>
  <si>
    <t>JCS</t>
  </si>
  <si>
    <t>Bahria 8</t>
  </si>
  <si>
    <t>Qasim Manager</t>
  </si>
  <si>
    <t>09-10-2019</t>
  </si>
  <si>
    <t>SW=15K,6Month=3000 01-10-2019 to 31-03-2020 (18K Cash at Naeem sb Home 09-10-2019)</t>
  </si>
  <si>
    <t>08-10-2019</t>
  </si>
  <si>
    <t>Whatsapp 23-07-2019 (49K) (30K Cash at Cosmo Computer July-2019)(15K Cash at Ishaq Factory 10-10-2019)</t>
  </si>
  <si>
    <t>SW=30x2=60k,Annual=12+11=23K,VSP=30K,22.12*12=26865 (30K MBL 15-07-2019)(18K MBL 15-10-2019)</t>
  </si>
  <si>
    <t>Khurram</t>
  </si>
  <si>
    <t>16-10-2019</t>
  </si>
  <si>
    <t>50K in Whatsapp Remaining 122,130/- - 50,000/-= 72130/- (05-10-2019 50K Cash HTS Shop)(50K MBL 19-10-2019)</t>
  </si>
  <si>
    <t>22-10-2019</t>
  </si>
  <si>
    <t>5K (Jamil Sweets Cash Shop Saddar --&gt; Rcv+Dispatch Module work)</t>
  </si>
  <si>
    <t>Faster PCU</t>
  </si>
  <si>
    <t>Barkat Ullah</t>
  </si>
  <si>
    <t>01-10-2019</t>
  </si>
  <si>
    <t>SW=60K,Annual With Online=18K (50K Cash When install)(28K MBL 22-10-2019)</t>
  </si>
  <si>
    <t>For the Month of Sep-2019</t>
  </si>
  <si>
    <t>24-10-2019</t>
  </si>
  <si>
    <t>For the Month of Oct-2019</t>
  </si>
  <si>
    <t>Brig Mansoor</t>
  </si>
  <si>
    <t>01-11-2019</t>
  </si>
  <si>
    <t>Lic 01-11-2019 to 30-10-2020 12K(MBL 12K 01-11-2019)</t>
  </si>
  <si>
    <t>05-11-2019</t>
  </si>
  <si>
    <t>12K Lic 01-10-2019 to 31-03-2020 (12K MBL 08-11-2019)</t>
  </si>
  <si>
    <t>11-11-2019</t>
  </si>
  <si>
    <t>Lic 01-10-2019 to 31-01-2020 12K(MBL 8K 01-11-2019)</t>
  </si>
  <si>
    <r>
      <t>YFC=50K,Bakery=50K,Refresh=20K,6K Configure Server,6Month=7+7+3.5=17.5K,</t>
    </r>
    <r>
      <rPr>
        <sz val="11"/>
        <color rgb="FFFF0000"/>
        <rFont val="Calibri"/>
        <family val="2"/>
        <scheme val="minor"/>
      </rPr>
      <t>YFC 2Store=15K.Removed</t>
    </r>
    <r>
      <rPr>
        <sz val="11"/>
        <color theme="1"/>
        <rFont val="Calibri"/>
        <family val="2"/>
        <scheme val="minor"/>
      </rPr>
      <t>(29K from Yum Ref Nawababad,25K MBL 26-06-2019)(30K Basti Cash 12-07-2019)(30K MBL 30-07-2019)(20K cash by Kiyani sb 14-09-2019)(50K For SW YFC Wah Oct-2019,Lic 3Month x 1k=3K, Online 3Month*1500=4500,Total 57500)(25K MBL 18-10-2019)(20K Cash Wah 30-10-2019 and 5K Disc by Hamza sb)(15K MBL 14-11-2019)</t>
    </r>
  </si>
  <si>
    <t>Chota Bazar</t>
  </si>
  <si>
    <t>16-11-2019</t>
  </si>
  <si>
    <t>Lice 01-10-2019 to 30-10-2020 (12K Cash by Hussnain 16-11-2019 at his shop)</t>
  </si>
  <si>
    <t>17K for SMS Device (17K MBL 19-11-2019)</t>
  </si>
  <si>
    <t>VP</t>
  </si>
  <si>
    <t>19-11-2019</t>
  </si>
  <si>
    <t>(50400 MBL 19-11-2019)</t>
  </si>
  <si>
    <t>Khana Road</t>
  </si>
  <si>
    <t>20-11-2019</t>
  </si>
  <si>
    <t>VPS</t>
  </si>
  <si>
    <t>Mohavia</t>
  </si>
  <si>
    <t>21-11-2019</t>
  </si>
  <si>
    <t>Extra Work (2k by Asim 21-11-2019)</t>
  </si>
  <si>
    <t>2 VPS=15k,15k,Annual=14400,14000 Total=58,800/- (58,800 MBL 09-07-2019)</t>
  </si>
  <si>
    <t>Jamshed Gujranwala</t>
  </si>
  <si>
    <t>22-11-2019</t>
  </si>
  <si>
    <t>LED+Computer</t>
  </si>
  <si>
    <t>MJ's</t>
  </si>
  <si>
    <t xml:space="preserve">Syed Altaf </t>
  </si>
  <si>
    <t>26-11-2019</t>
  </si>
  <si>
    <t>Configure Linux (14K Cash 26-11-2019)</t>
  </si>
  <si>
    <t>50400 Rcvd = 15K Waqar 22-11-2019)</t>
  </si>
  <si>
    <t>27-11-2019</t>
  </si>
  <si>
    <t>Work Done 15K,1K SSD (20500 Cash 27-11-2019)</t>
  </si>
  <si>
    <t>For the Month of Nov-2019</t>
  </si>
  <si>
    <t>Verlon PCU</t>
  </si>
  <si>
    <t>Tariq</t>
  </si>
  <si>
    <t>04-12-2019</t>
  </si>
  <si>
    <t>HTS Gujranwala</t>
  </si>
  <si>
    <t>Shop SW=25K,Annual=12K,Factory SW=35K,Annual=12K (37K MBL 01-08-2019)(47K MBL 04-12-2019)</t>
  </si>
  <si>
    <t>2nd Shop Online=15K,Monthly=1200x3=3600,S/w=15K,Monthly 500x3=1500 (10K Cash 14-09-2019)(15K Cash 15/16 Nov at Shop)(10K cash 12-12-2019)</t>
  </si>
  <si>
    <t>16-12-2019</t>
  </si>
  <si>
    <t>Order Take (Mobile + PC app) (45K 16-12-2019)</t>
  </si>
  <si>
    <t>Lic for 2 Shops (Till 30-11-2020) (16K MBL 16-12-2019)</t>
  </si>
  <si>
    <t>VPS=10K,Monthly 2200 for 2 Modules (Factory Rcv &amp; Dispatch),6 Month Adv Till 23-4-2020 (23200 Cash Saddar Shop 24-10-2019)</t>
  </si>
  <si>
    <t>Jamil Sweets VPS</t>
  </si>
  <si>
    <t>Lic Till 31-03-2020 (15K Cash in Off 07-10-2019)</t>
  </si>
  <si>
    <t>Lic Till 31-03-2020 (6K Cash 16-10-2019)</t>
  </si>
  <si>
    <t>New City Brand</t>
  </si>
  <si>
    <t>Khawar by Walk IN</t>
  </si>
  <si>
    <t>17-12-2019</t>
  </si>
  <si>
    <t>Receipt Printer Khawar=1050</t>
  </si>
  <si>
    <t>19-12-2019</t>
  </si>
  <si>
    <t>21-12-2019</t>
  </si>
  <si>
    <t>VPS Lic Till 31-12-2020 Main Shop</t>
  </si>
  <si>
    <t>VPS Lic Till 31-12-2020 Internal</t>
  </si>
  <si>
    <t>Lic Till 31-12-2020 Main Shop</t>
  </si>
  <si>
    <t>Abid Hosery</t>
  </si>
  <si>
    <t>Milli Shoes Atif</t>
  </si>
  <si>
    <t>Milli Shoes Jehangir</t>
  </si>
  <si>
    <t>Jahangir</t>
  </si>
  <si>
    <t>English Shoes</t>
  </si>
  <si>
    <t>Mehtab</t>
  </si>
  <si>
    <t>Lic Till 31-12-2020 (12k cash 21-12-2019)</t>
  </si>
  <si>
    <t>24-12-2019</t>
  </si>
  <si>
    <t>VPS=15K,Montyly 1200x12=14400 (29,400 MBL 24-12-2019)</t>
  </si>
  <si>
    <t>Ajmal</t>
  </si>
  <si>
    <t>SW=25K,Annual 12K Printer=8500, Recept Roll=125/-x10=1250(25K Cash 17-12-2019)(10K MBL 19-12-2019)(21750 MBL 24-12-2019)</t>
  </si>
  <si>
    <t>26-12-2019</t>
  </si>
  <si>
    <t>Lic 31-12-2020,(12k MBL 26-12-2019)</t>
  </si>
  <si>
    <t>Al Maida Hotel</t>
  </si>
  <si>
    <t>Lic 31-12-2020,(15k Cash 26-12-2019)</t>
  </si>
  <si>
    <t>Sahib Rehman Cement Agengy</t>
  </si>
  <si>
    <t>Sahib</t>
  </si>
  <si>
    <t>Tarnol</t>
  </si>
  <si>
    <t>Sw=25K,Annual=12K,VPS Annual=14400 (51K Cash 26-12-2019)</t>
  </si>
  <si>
    <t>27-12-2019</t>
  </si>
  <si>
    <t>Lic Till 30-06-2020 for 3 Shops (18K Cash by Azeem 27-12-2019)</t>
  </si>
  <si>
    <t>Lic 01-01-2020 to 31-12-2020 (12K Cash at Shop 28-12-2019)</t>
  </si>
  <si>
    <t>Lic 31-12-2020 (12K Cash Shop 28-12-2019 by Khawar)</t>
  </si>
  <si>
    <t>Lic Till 31-12-2020 (6K MBL 30-12-2019)</t>
  </si>
  <si>
    <t>Aamir Int'l Travel</t>
  </si>
  <si>
    <t>30-12-2019</t>
  </si>
  <si>
    <t>Lic 30-06-2019 (6K MBL 30-06-2019)</t>
  </si>
  <si>
    <t>Hazar Travel</t>
  </si>
  <si>
    <t>Lic 31-12-2020 (20K MBL 30-12-2019)</t>
  </si>
  <si>
    <t>Lic 31-7-2020 (12K),VPS=15K,Annual VPS=14400 (Cash 41,400/- July-2019)</t>
  </si>
  <si>
    <t>License 01-01-2020 to 31-12-2020 + VPS 1400/- x 12 = 16800/- Total 66800/- (66800/- MBL 30-12-2019)</t>
  </si>
  <si>
    <t>Kiran</t>
  </si>
  <si>
    <t>Lic 31-12-2020 (12K Cash 30-12-2019)</t>
  </si>
  <si>
    <t>Lice + VPS Till 31-12-2020 (30400 MBL 30-12-2019)</t>
  </si>
  <si>
    <t>VPS Lic Till 31-12-2020 (14400 MBL 30-12-2019)</t>
  </si>
  <si>
    <t>31-12-2019</t>
  </si>
  <si>
    <t xml:space="preserve">Lic 31-12-2020 + VPS @1400x12=16800 (28,800/- MBL 31-12-2020) </t>
  </si>
  <si>
    <t>First Need</t>
  </si>
  <si>
    <t xml:space="preserve">Lic 31-12-2020  (12K MBL 31-12-2020) </t>
  </si>
  <si>
    <t>Lic Till 31-12-2020 Internal Shop (37,800 MBL 31-12-2020)</t>
  </si>
  <si>
    <t xml:space="preserve">Lic 31-12-2020  (180K Cash 31-12-2020) </t>
  </si>
  <si>
    <t>For the Month of Dec-2019</t>
  </si>
  <si>
    <t>Roop Singar</t>
  </si>
  <si>
    <t>Bata Friend Shoes</t>
  </si>
  <si>
    <t>01-01-2020</t>
  </si>
  <si>
    <t>For the 2019</t>
  </si>
  <si>
    <t>NKS + SKS</t>
  </si>
  <si>
    <t>Hina Centre</t>
  </si>
  <si>
    <t>Zunaid</t>
  </si>
  <si>
    <t>Lic Till 31-12-2020 (6k Easy Paisa 01-01-2020)</t>
  </si>
  <si>
    <t>Askari</t>
  </si>
  <si>
    <t>Khanna</t>
  </si>
  <si>
    <t>25-12-2019</t>
  </si>
  <si>
    <t>Bhakar</t>
  </si>
  <si>
    <t>Munir Brothers Toys</t>
  </si>
  <si>
    <t>Lic Till 30-06-2020(6K MBL 02-01-2020)</t>
  </si>
  <si>
    <t>03-01-2020</t>
  </si>
  <si>
    <t>Lic Till 31-12-2020 (12K Cash at my office 03-01-2020)</t>
  </si>
  <si>
    <t>Broadway Bakers</t>
  </si>
  <si>
    <t>Fahd</t>
  </si>
  <si>
    <t>Yum Refreshment Gate-2</t>
  </si>
  <si>
    <t>Naeem</t>
  </si>
  <si>
    <t>Lic Till 31-12-2020 (12K MBL 06-04-2020)</t>
  </si>
  <si>
    <t>Shafiq Doosan 2.5,Askari Beauti 1K(01-01-2020)</t>
  </si>
  <si>
    <t>06-01-2020</t>
  </si>
  <si>
    <t>Nighties</t>
  </si>
  <si>
    <t>Hina</t>
  </si>
  <si>
    <t>Lic Till 31-12-2020 (7 Shops)6 Month ki payment ka promise jab k License full year ka de diya(22K Cash 01-01-2020 at my office)(20K MBL 06-01-2020)</t>
  </si>
  <si>
    <t>Lic Till 31-12-2020 For 2 Shops NKS + SKS(Cash by Waqas 06-01-2020)</t>
  </si>
  <si>
    <t>Hassan</t>
  </si>
  <si>
    <t>HKS by Naveed Shoes</t>
  </si>
  <si>
    <t xml:space="preserve">Tahir </t>
  </si>
  <si>
    <t>07-01-2020</t>
  </si>
  <si>
    <t>Lic Till 31-12-2020 (12K MBL 06-01-2020)</t>
  </si>
  <si>
    <t>Online SW=25K (Disc 25K) ,VPS Online Annual 12000/-(37K Cash 07-01-2020)</t>
  </si>
  <si>
    <t>Lic Till 30-06-2020 for 2 Shops (Cash from Saddar Shop 6K by Zeeshan 07-01-2020)</t>
  </si>
  <si>
    <t>02-01-2020</t>
  </si>
  <si>
    <t>License 2019-&gt; 12K (12K MBL 06-01-2019)</t>
  </si>
  <si>
    <t>08-01-2020</t>
  </si>
  <si>
    <t>Lic Till 31-12-2020(08-01-2020 MBL 12K)</t>
  </si>
  <si>
    <t>Wah Baker 11K=Scale</t>
  </si>
  <si>
    <t>VPS Lic Till 31-12-2020 (Head Office + 3 Shops) (Mehran 21-12-2019 Lic Diya)((72K cash by Mehran 08-01-2020)</t>
  </si>
  <si>
    <t>VPS Lic Till 31-12-2020 (Head Office + 3 Shops)(72K cash by Sajid sb 40K-&gt;02-01-2020, 31K-&gt; 08-01-2020)</t>
  </si>
  <si>
    <t>Lic Till 31-12-2020(12K MBL 09-01-2020)</t>
  </si>
  <si>
    <t>SW=30K,Annual 12K (10K Cash 20-11-2019 by Naveed Sadiq Abad)(Promise on Jan-20)(21K cash by Tanvir at Sajid sweets 01-01-2020 Total 33K diya jis ma 21K old tha aur 12K annual 2020 ka tha)</t>
  </si>
  <si>
    <t>Lic Till 31-12-2020 (4 Shops)(12K Khana Shop cash at sajid sweets by Tanvir 09-01-2020 waise total 33K dya tha jis ma 21K old SW ka tha)</t>
  </si>
  <si>
    <t>48K for Half Yearly Till 31-05-2020 (48K MBL 10-01-2020)</t>
  </si>
  <si>
    <t>13-01-2020</t>
  </si>
  <si>
    <t>Lic Till 30-05-2020 (6K MBL 13-01-2020)</t>
  </si>
  <si>
    <t>Lic Till 31-12-2020 (11 Shops)(32K 14-01-2020 Cash 1Lakh Chq (17-01-2020))</t>
  </si>
  <si>
    <t>SW=40K,Annual 18K,(30K MBL 05-11-2019)(install 02-12-2019 and remaing payment after 15 days)(28K cash by Ishaq 16-01-2020)</t>
  </si>
  <si>
    <t>16-01-2020</t>
  </si>
  <si>
    <t>Lic Till 31-12-2020 (18K Cash 16-01-2020 Main Setup)(2nd Setup Pending)</t>
  </si>
  <si>
    <t>17-01-2020</t>
  </si>
  <si>
    <t>Lic Till 30-06-2020 (6K MBL 17-01-2020)</t>
  </si>
  <si>
    <t>Lic Till 31-12-2020 (12K MBL 16-01-2020)</t>
  </si>
  <si>
    <t>Charlie Shoes</t>
  </si>
  <si>
    <t>Lic Till 31-12-2020 (12K Cash 17-01-2020 at my office)</t>
  </si>
  <si>
    <t>Lic 30-06-2020 (40K MBL 21-01-2020)</t>
  </si>
  <si>
    <t>Lic Till 31-12-2020 (Cash from Zahoor 20-01-2020)</t>
  </si>
  <si>
    <t>Lic Till 31-12-2020 (6K MBL 23-01-2020)</t>
  </si>
  <si>
    <t>SW=50K,Annual=12K,VPS Annual=12K(Cash 64K24-01-2020 by Zarmina)</t>
  </si>
  <si>
    <t>Baba Shoes (Setup Separate)</t>
  </si>
  <si>
    <t>25-01-2020</t>
  </si>
  <si>
    <t>lic 31-12-2020 Chandi (MBL 29-01-2020 12K)</t>
  </si>
  <si>
    <t>29-01-2020</t>
  </si>
  <si>
    <t>Lic 30-06-2020 (6K Omni  29-01-2020)</t>
  </si>
  <si>
    <t>SW=25K,Annual=12K (15K Cash by Waqas 06-01-2020)(5K cash Waqas 07-01-2020)(12K cash by Naveed sb Jan-2020)</t>
  </si>
  <si>
    <t>For the Month of Jan-2020</t>
  </si>
  <si>
    <t>Marco Pizza</t>
  </si>
  <si>
    <t>02-02-2020</t>
  </si>
  <si>
    <t>SW=55K,Annual=12K (67K MBL 02-02-2020)</t>
  </si>
  <si>
    <t>04-02-2020</t>
  </si>
  <si>
    <t>Arshad</t>
  </si>
  <si>
    <t>Sajjad</t>
  </si>
  <si>
    <t>Zaheer</t>
  </si>
  <si>
    <t>Rcvd Date</t>
  </si>
  <si>
    <t>05-02-2020</t>
  </si>
  <si>
    <t>06-02-2020</t>
  </si>
  <si>
    <t>Disburse</t>
  </si>
  <si>
    <t>MBL</t>
  </si>
  <si>
    <t>07-02-2020</t>
  </si>
  <si>
    <t>Relax Plastic Industry</t>
  </si>
  <si>
    <t>Naveed Shah</t>
  </si>
  <si>
    <t>Khada Market</t>
  </si>
  <si>
    <t>08-02-2020</t>
  </si>
  <si>
    <t>Addl Work 5k</t>
  </si>
  <si>
    <t>SW=60K,Annual=12K,VPS Annual=14400 (14400 Cash 08-02-2020 by Mumtaz)</t>
  </si>
  <si>
    <t>VPS Per month 1500*11=15000x3=49500 From 06-12-2019 to 05-03-2020 (45K MBL 04-12-2019)(4500 Cash 09-12-2019)</t>
  </si>
  <si>
    <t>Vision Distributor</t>
  </si>
  <si>
    <t>Amaad</t>
  </si>
  <si>
    <t>11-02-2020</t>
  </si>
  <si>
    <t>SW=30,Annual=12K (24K MBL 11-02-2020, 6K As Commission to Amaad, 12K first year free)</t>
  </si>
  <si>
    <t>Client</t>
  </si>
  <si>
    <t>Date From</t>
  </si>
  <si>
    <t>To</t>
  </si>
  <si>
    <t>Pay. Date</t>
  </si>
  <si>
    <t>Total Shops</t>
  </si>
  <si>
    <t>05-03-2020</t>
  </si>
  <si>
    <t>31-12-2020</t>
  </si>
  <si>
    <t>TBS Lahore</t>
  </si>
  <si>
    <t>30-06-2020</t>
  </si>
  <si>
    <t>POS Online SW=50K,Annual=12K(50K cash 29-01-2020)(12K MBL 17-02-2020)</t>
  </si>
  <si>
    <t>18-02-2020</t>
  </si>
  <si>
    <t>Lic Till 31-12-2020 (12K MBL 18-02-2020)</t>
  </si>
  <si>
    <t>Kit Shoes (MKS)</t>
  </si>
  <si>
    <t>27-01-2020</t>
  </si>
  <si>
    <t>SW=25K,Online Setup=15K,Annual=12K (52K Cash 19-02-2020)</t>
  </si>
  <si>
    <t>Lic 01-01-2020 to 31-12-2020 (11 Setup)(108000 MBL 31-12-2019)(12K Cash 22-02-2020)</t>
  </si>
  <si>
    <t>SW=25K online Fateh Jang, Annual=12K,Nawab Abad Online Rs.0,Annual=12K, VPS for 3 Month=9k(35K Cash 29-01-2020 Nawababad by me)(20K MBL 14-02-2020)(3K cash 22-02-2020)</t>
  </si>
  <si>
    <t>Millat Floor Mills</t>
  </si>
  <si>
    <t>24-02-2020</t>
  </si>
  <si>
    <t>Qand Shereen</t>
  </si>
  <si>
    <t>Weigh Link</t>
  </si>
  <si>
    <t>SW=25K,Annual=6K (Azher dealt)(Adjusted with Weighing Scale 26-02-2020)</t>
  </si>
  <si>
    <t xml:space="preserve">Hospital </t>
  </si>
  <si>
    <t>Kalar Sydan</t>
  </si>
  <si>
    <t>26-02-2020</t>
  </si>
  <si>
    <t>Server Config 3K (Azhar sb payment karen gay)(adjusted with Weight Scale)</t>
  </si>
  <si>
    <t>Best School (Shop+Factory)</t>
  </si>
  <si>
    <t>Best School (Shop+Factory) by Shahid</t>
  </si>
  <si>
    <t>SW HO=120K,Comm. Shop=50K,VPS Monthly 1200*6=7400x2=14400 (92200 Cash 26-11-2019)(25K given to Razzaq sb 01-12-2019)(F-10 Shop=50K,Annual 12K,VPS=6x12=7200 09-12-2019 Confirm. 'Remaining HO+Commercial Annual 1K*6*2=12K' Cash Paid 25K 09-Dec)20K Attendance System (35K Cash F-10 Branch 12-12-2019 12K for URU 4500)(50K Cash Factory 30-12-2019)(50K cash from Factory by Mehmood sb 22-02-2020)(50K Cash by Hotel Ms.Hina 27-02-2020)(Update for 15K in Urdu Invoice in Head Office 27-02-2020)(29-02-2020 cash 15K from factory for urdu invoice)</t>
  </si>
  <si>
    <t>Lic 31-12-2020, Annual=12K,VPS=14,400/-(22700/- Cash 02-03-2020)</t>
  </si>
  <si>
    <t>For the Month of Feb-2020</t>
  </si>
  <si>
    <t>02-03-2020</t>
  </si>
  <si>
    <t>Lic for 6 Month (45K MBL 03-03-2020)</t>
  </si>
  <si>
    <t>03-03-2020</t>
  </si>
  <si>
    <t>Lic Till 31-07-2020 (24K MBL 04-03-2020)</t>
  </si>
  <si>
    <t>Nighties-2</t>
  </si>
  <si>
    <t>Ms.Hina</t>
  </si>
  <si>
    <t>YUM VPS</t>
  </si>
  <si>
    <t>04-03-2020</t>
  </si>
  <si>
    <t xml:space="preserve">Naveed Shoes Addl Work Pict </t>
  </si>
  <si>
    <t>16K for Picture Modue for NKS + Kit Shoes</t>
  </si>
  <si>
    <t>Shahnawaz</t>
  </si>
  <si>
    <t>SW=40K,Lic+VPS=22K Annual (11 Month),(62K Cash 03-03-2020)</t>
  </si>
  <si>
    <t>VPS 3 Month (05-03-2020 to 05-06-2020) 1500 Per Month x 11 Setup x 3 Month(49500 MBL 05-03-2020)</t>
  </si>
  <si>
    <t>Famous</t>
  </si>
  <si>
    <t>Shop (Shazad Retail Shop)</t>
  </si>
  <si>
    <t>Modern (Father)</t>
  </si>
  <si>
    <t>SW=40K,Annual=18K,Online Setup=10K,VPS Annual=14400</t>
  </si>
  <si>
    <t>Kadam</t>
  </si>
  <si>
    <t>Online Setup=10K,VPS Annual=14400</t>
  </si>
  <si>
    <t>Munawar</t>
  </si>
  <si>
    <t>06-03-2020</t>
  </si>
  <si>
    <t>Karachi Chemicals</t>
  </si>
  <si>
    <t>07-03-2020</t>
  </si>
  <si>
    <t xml:space="preserve">VPS 1500*6=9000 </t>
  </si>
  <si>
    <t>VPS 1500*6=9000 (01-01-2020 to 30-06-2020 (9K EasyPaisa 02-01-2020)</t>
  </si>
  <si>
    <t>Khurram (BrandCity</t>
  </si>
  <si>
    <t>VPS 1200x6=7200 (7200 MBL 06-03-2020)</t>
  </si>
  <si>
    <t>BrandCity</t>
  </si>
  <si>
    <t>01-03-2020</t>
  </si>
  <si>
    <t>Salman Sweets</t>
  </si>
  <si>
    <t>Salman</t>
  </si>
  <si>
    <t>08-03-2020</t>
  </si>
  <si>
    <t>Mehfil-E-Shireen</t>
  </si>
  <si>
    <t>09-03-2020</t>
  </si>
  <si>
    <t>Training Fee (10K Cash 09-03-2020)</t>
  </si>
  <si>
    <t>sw=25K,Annual=Mar-Dec-2020=&gt;9K,Online=15K(Separate Database from Shoes)(49K Cash by Mumtaz 10-03-2020)</t>
  </si>
  <si>
    <t>Broadway Bakers 2nd</t>
  </si>
  <si>
    <t>10-03-2020</t>
  </si>
  <si>
    <t>VPS=1500Per Month x 6 Month = 9K (9k MBL 10-03-2020)</t>
  </si>
  <si>
    <t>04-06-2020</t>
  </si>
  <si>
    <t>Monthly</t>
  </si>
  <si>
    <t>SW=30K,Annual=12,65+65K Weigh Scale,200 BarCode @170/-,100 Receipt @130/-    150K MBL 04-03-2020, 104K MBL 12-03-2020)</t>
  </si>
  <si>
    <t>Rewayat</t>
  </si>
  <si>
    <t>Bahria</t>
  </si>
  <si>
    <t>11-03-2020</t>
  </si>
  <si>
    <t>VPS=1500Per Month x 2 Month x 2 Setup(9K Cash 11-03-2020--&gt; 50K for 9K VPS+ 17K 2PC+7K Printer Total=50K RCVD 11-03-2020)</t>
  </si>
  <si>
    <t>2K PC+1K Printer (YUM)</t>
  </si>
  <si>
    <t>SW for Mall=25K,Online Configure=15K,Annual=9K Apr-Dec2020(49K Cash 09-03-2020)</t>
  </si>
  <si>
    <t>Reconfigure Router 12K,POS-&gt;Back Date Sales + Reject My Dement-&gt; Set for Admin W Power (19K Cash 13-03-2020)</t>
  </si>
  <si>
    <t xml:space="preserve">Tuk Shop </t>
  </si>
  <si>
    <t>Nasir/Ulfat</t>
  </si>
  <si>
    <t>16-03-2020</t>
  </si>
  <si>
    <t>SW=20K,Annual=6K (20500 MBL 16-03-2020 remaining payent already rcvd)</t>
  </si>
  <si>
    <t>Bata by Faisal</t>
  </si>
  <si>
    <t>SW=25K,6Month=6K,VPS Setup=15K,VPS Annual=14400 (Promise 50K Thursday,12K)(50K cash 15-02-2020)(10K MBL 18-03-2020 400 Disc)</t>
  </si>
  <si>
    <t>SW=25K,Annual=12K (10K Feb-20)(10K cash Mumtax 12-03-2020)(12K Cash 17-03-2020 thr Mumtaz)</t>
  </si>
  <si>
    <t>Addl 2 Fields Update=45K,SMS USB=3800 (48800 MBL 19-03-2020)</t>
  </si>
  <si>
    <t>POS=50K,Accounts etc=80K,Annual 1Kx2x10=20K (17K cash 11-03-2020 from 50K Cash)(57K MBL 20-03-2020)</t>
  </si>
  <si>
    <t>SW=Paid already,Annual=18K,Online Setup=10K,VPS Annual=14400 (50K MBL 05-03-2020)(Addl Work=8k Rcvd MBL 56K 31-03-2020)</t>
  </si>
  <si>
    <t>Bilal Store</t>
  </si>
  <si>
    <t>01-04-2020</t>
  </si>
  <si>
    <t>04-04-2020</t>
  </si>
  <si>
    <t>Asad/Fahad</t>
  </si>
  <si>
    <t>07-04-2020</t>
  </si>
  <si>
    <t>Lic 30-09-2020 (Cash 04-04-2020 by Mumtaz)</t>
  </si>
  <si>
    <t>Choottoo</t>
  </si>
  <si>
    <t>Zia</t>
  </si>
  <si>
    <t>06-04-2020</t>
  </si>
  <si>
    <t>Lic Till From 01-06-2019 to 31-03-2020 12K (MBL 10K 10-6-2019)</t>
  </si>
  <si>
    <t>Dr. Sarah</t>
  </si>
  <si>
    <t>14-04-2020</t>
  </si>
  <si>
    <t>12-04-2020</t>
  </si>
  <si>
    <t>Lic 30-09-2020 (3K MBL 16-04-2020)</t>
  </si>
  <si>
    <t>VPS 23-04-2020 to 24-10-2020 @2200x6=13200/- (Rcvd cash 13200/- Factory by Mumtaz 14/15-04-2020)</t>
  </si>
  <si>
    <t xml:space="preserve">Alina </t>
  </si>
  <si>
    <t>15-04-2020</t>
  </si>
  <si>
    <t>POS Online SW=50K,Annual=12K(20K MBL 17-04-2020)</t>
  </si>
  <si>
    <t>Lic 01-04-2020 to 31-03-2021 (cash by Mumtaz 18-04-2020)</t>
  </si>
  <si>
    <t>SW=50K,Annual=Mar-Dec=&gt;10K(50K MBL 06-04-2020)(20K MBL April-2020)(Remaining 2800)</t>
  </si>
  <si>
    <t>Attend SW=25K,Device=10500=35500,Other Total=1,10,000/-(50K cash Oct-2019)(25K cash 26-11-2019)(30K cash 12-03-2020)(23K cash 22-04-2020)</t>
  </si>
  <si>
    <t>SW Sweets=55K,Refreshment=35K, Cake=25K,Online 15000 Per Month,Lic=1K Per month 6Month(15-03-2020 to 14-09-2020)(50K MBL 22-04-2020)</t>
  </si>
  <si>
    <t>Salman Sweets Dalazak</t>
  </si>
  <si>
    <t>24-04-2020</t>
  </si>
  <si>
    <t>Lic 01-04-2020 to 30-09-2020(12K MBL 25-04-2020)</t>
  </si>
  <si>
    <t>25-04-2020</t>
  </si>
  <si>
    <t>SW=70K,Annual=12K (14K Cash 26-02-2020)(26K Cash 04-03-2020)(10K cash 14-03-2020)(Refund 14K MBL 09-04-2020)(Refund 26K 18-04-2020)(Refund 10K 20-04-2020 MBL)</t>
  </si>
  <si>
    <t>3 PC Configure 15K+1500 PC Refresh (16500 MBL 30-04-2020)</t>
  </si>
  <si>
    <t>15K-3K=12K Additional Work on GST etc(12k Cash 01-05-2020)</t>
  </si>
  <si>
    <t>01-05-2020</t>
  </si>
  <si>
    <t>02-05-2020</t>
  </si>
  <si>
    <t xml:space="preserve">Altaf </t>
  </si>
  <si>
    <t>New Baba Shoes</t>
  </si>
  <si>
    <t>1-1/2 Year Lic 01-01-2019-30-06-2020 Spcl Disc.3000/-</t>
  </si>
  <si>
    <t>Mjs Factory Shop</t>
  </si>
  <si>
    <t>5K Reconfigure Out System 02-05-2020 Nadeem format D: Drive(5K Cash From factory 02-05-2020),3500/- New Report for Fahad(3500 Cash from saddar Branch)</t>
  </si>
  <si>
    <t>GetGoing</t>
  </si>
  <si>
    <t>Raja</t>
  </si>
  <si>
    <t>12-05-2020</t>
  </si>
  <si>
    <t>Lic=12K,VPS=14400 Till 31-03-2021 (26400 MBL 12-05-2020)</t>
  </si>
  <si>
    <t>6+6K Lic 03-09-2020 2Shop (12K Cash 09-05-2020 by Mudasar at my office when computer RAM prob)</t>
  </si>
  <si>
    <t>SW=30K,Annual=12K (sys installed thr Masood sb 16-03-2020)(10K Discount spl for Faisal bhai)(30K MBL 13-05-2020 by Faisal Bhai)</t>
  </si>
  <si>
    <t>For the Month of Mar-2020</t>
  </si>
  <si>
    <t>For the Month of Apr-2020</t>
  </si>
  <si>
    <t>SW=120K,Annual 500PerPCx6=3K (30K Cash 04-09-2019)(20K Cash 11-02-2020)(70K cash 15-05-2020)</t>
  </si>
  <si>
    <t>Morning Bread Server</t>
  </si>
  <si>
    <t>15-05-2020</t>
  </si>
  <si>
    <t>Linux Server Conf=20K (20K Cash 15-05-2020)</t>
  </si>
  <si>
    <t>SW=20K,Annual 5K (20K Cash office by Mudasar Italian Shoes 04-04-2019)(5K Annual Lic MBL 20-05-2020)</t>
  </si>
  <si>
    <t>SW Sweets=50K,Refreshment=30K, Cake=25K,Lic=1K Per month 6Month(40K MBL 20-05-2020)</t>
  </si>
  <si>
    <t>SW Transfer=30K,Refresh Purchi=10K,VPS 6Monthx2Setup=14400,Lic 6Monthx2Setup=12K(Till 30-09-2020)(Adj 12400/-)(4K Cash in HW 05-05-2020)(50K Cash from factory 20-05-2020)</t>
  </si>
  <si>
    <t>IslamicBooks</t>
  </si>
  <si>
    <t>21-05-2020</t>
  </si>
  <si>
    <t>01-06-2020</t>
  </si>
  <si>
    <t>30-11-2020</t>
  </si>
  <si>
    <t>HBS Traders</t>
  </si>
  <si>
    <t>31-05-2020</t>
  </si>
  <si>
    <t xml:space="preserve">Sweet Palace </t>
  </si>
  <si>
    <t>VPS 3 Month (03-06-2020 to 02-09-2020) 1500 Per Month x 11 Setup x 3 Month (25K MBL 02-06-2020, 24500 MBL 04-06-2020)</t>
  </si>
  <si>
    <t>Baba G Footwear</t>
  </si>
  <si>
    <t>Islam Electric Store</t>
  </si>
  <si>
    <t>03-06-2020</t>
  </si>
  <si>
    <t>Morning Bread Attendance</t>
  </si>
  <si>
    <t>From 01-04-2020 to 31-08-2020 (Disc due to Covid-19 2Month)(5K MBL 05-06-2020 for 5 Months)</t>
  </si>
  <si>
    <t>09-06-2020</t>
  </si>
  <si>
    <t>S.S. Ghulam Hussain Travels</t>
  </si>
  <si>
    <t>Abttd</t>
  </si>
  <si>
    <t>Lic 01-05-2020 to 30-10-2020 (6K MBL Zee Softawre 09-06-2020)</t>
  </si>
  <si>
    <t>HBS Imran</t>
  </si>
  <si>
    <t>Central Asia</t>
  </si>
  <si>
    <t>Lice 01-04-2020 to 31-03-2021</t>
  </si>
  <si>
    <t>Annual Lic Till 30-05-2021 (12K EasyPaisa 17-06-2020)</t>
  </si>
  <si>
    <t>Tariq Shoes</t>
  </si>
  <si>
    <t>Gujranwala</t>
  </si>
  <si>
    <t>16-06-2020</t>
  </si>
  <si>
    <t>Mega Shoe</t>
  </si>
  <si>
    <t>18-06-2020</t>
  </si>
  <si>
    <t>23-06-2020</t>
  </si>
  <si>
    <t>Lic Till 31-12-2020</t>
  </si>
  <si>
    <t>Fahad</t>
  </si>
  <si>
    <t>New Update -&gt;Audit Trailing Report for In+Out system</t>
  </si>
  <si>
    <t>Lic software IN+Out Till 31-12-2020 6K (Cash 11K from Bank Road Shop by Mumtaz 24-06-2020)</t>
  </si>
  <si>
    <t>VPS 3 Month (03-06-2020 to 02-09-2020) 1500 Per Month x 1 Setup x 3 Month (4500 EasyPaisa 25-06-2020)</t>
  </si>
  <si>
    <t>Salman Sweets Murree Road</t>
  </si>
  <si>
    <t>VPS @1400x12=16800 (01-06-2020 to 31-05-2021)(16800 cash H.Karim 21-06-2020)</t>
  </si>
  <si>
    <t>Website=30K and 50% for Zee and 50% Waqar (21K MBL 21-05-2020 10500/- Transfer to Waqar MBL 21-05-2020)(9K MBL 22-06-2020)</t>
  </si>
  <si>
    <t>Ulfat</t>
  </si>
  <si>
    <t>29-06-2020</t>
  </si>
  <si>
    <t>Mega Shoe Point</t>
  </si>
  <si>
    <t>Lic Till 31-12-2020 (MBL 6K 30-06-2020)</t>
  </si>
  <si>
    <t>Abdul Majeed Namak</t>
  </si>
  <si>
    <t>Lic Till 30-06-2021 (4600 Cash by Mumtaz 30-06-2020 Honey Bottles = 4*400-1600)</t>
  </si>
  <si>
    <t>Meat Zone</t>
  </si>
  <si>
    <t>Azher Scale</t>
  </si>
  <si>
    <t>For the Month of May-2020</t>
  </si>
  <si>
    <t>Umair Air Travel And Tours</t>
  </si>
  <si>
    <t>02-07-2020</t>
  </si>
  <si>
    <t>Lic 31-12-2020 (6K MBL 02-07-2020)</t>
  </si>
  <si>
    <t xml:space="preserve">Aamir Int'l </t>
  </si>
  <si>
    <t>Lic 31-12-2020</t>
  </si>
  <si>
    <t>SW POS=20K</t>
  </si>
  <si>
    <t>Lic Till 31-12-2020 (Thursday ko send karen gay)(6K EasyPaisa 02-07-2020)</t>
  </si>
  <si>
    <t>Software=40K,Annual=18K</t>
  </si>
  <si>
    <t>26-12-2017</t>
  </si>
  <si>
    <t>Payment in 500SAR</t>
  </si>
  <si>
    <t>Payment Meezan Bank 20K</t>
  </si>
  <si>
    <t>08-03-2018</t>
  </si>
  <si>
    <t>15-05-2018</t>
  </si>
  <si>
    <t>April-2018</t>
  </si>
  <si>
    <t>Cash by Ishaq Sb</t>
  </si>
  <si>
    <t>Work</t>
  </si>
  <si>
    <t>Payments</t>
  </si>
  <si>
    <t>Aug-2017</t>
  </si>
  <si>
    <t>Saddam Shop SW=35K,Annual=12</t>
  </si>
  <si>
    <t>Nov-2018</t>
  </si>
  <si>
    <t>Cash for Saddam SW</t>
  </si>
  <si>
    <t>Meezan Bank for Saddam SW</t>
  </si>
  <si>
    <t>Annual for Ishaq sb SW</t>
  </si>
  <si>
    <t>23-07-2019</t>
  </si>
  <si>
    <t>July-2019</t>
  </si>
  <si>
    <t>30K cash at Cosmo Shop</t>
  </si>
  <si>
    <t>10-10-2019</t>
  </si>
  <si>
    <t>15K Cash at Factory</t>
  </si>
  <si>
    <t>18K Annual (Cash)</t>
  </si>
  <si>
    <t>31-03-2020</t>
  </si>
  <si>
    <t>Meezan Bank 50K</t>
  </si>
  <si>
    <t>May-2018</t>
  </si>
  <si>
    <t>Feb-2019</t>
  </si>
  <si>
    <t>Ishaq Online VPS Monthly 6 Month
Paid to Online company</t>
  </si>
  <si>
    <t>Ishaq Online VPS Setup
Paid to Online Company</t>
  </si>
  <si>
    <t>Additional work Mutually confirmed</t>
  </si>
  <si>
    <t>06-07-2020</t>
  </si>
  <si>
    <t>Lic 31-12-2020 (6k MBL 06-07-2020)</t>
  </si>
  <si>
    <t>07-07-2020</t>
  </si>
  <si>
    <t>Lic 31-12-2020 (6k MBL 07-07-2020)</t>
  </si>
  <si>
    <t>30-09-2020</t>
  </si>
  <si>
    <t>VPS 01-07-2020 to 30-09-2020 Anwar Chow (Payment MBL 12K 07-07-07 4500-&gt;VPS, 7500 Misc) as following
Old Scanner Single Line    Rs.4000/-
Replace Scanner Multi Line Rs.9000/- (Ye old rate per liya ha request kar k....COVID ki waja se rate ma bahut difference ah gya market ma)
Diff Rs.5000/-
Previous Balance Rs.2800/-
Total Rs.7800/-</t>
  </si>
  <si>
    <t>Zafar Foods</t>
  </si>
  <si>
    <t>08-07-2020</t>
  </si>
  <si>
    <t>Holy Cannoly</t>
  </si>
  <si>
    <t>Qaiser</t>
  </si>
  <si>
    <t>11-07-2020</t>
  </si>
  <si>
    <t>SW=30K,Lic=6K Til=31-12-2020 (20K Cash 11-07-2020)(16K Cash 15-07-2020 and give to Mehmood sb)</t>
  </si>
  <si>
    <t>Mubashir</t>
  </si>
  <si>
    <t>15-07-2020</t>
  </si>
  <si>
    <t>URU4500 (10500 Mubashir 15-07-2020)</t>
  </si>
  <si>
    <t>Lic Till 30-06-2021+Prev. Balance =5K (12K MBL 08-07-2020)(5K MBL 15-07-2020)</t>
  </si>
  <si>
    <t>Lic Till 31-12-2020 (MBL 40K 21-07-2020)</t>
  </si>
  <si>
    <t>Lic Till 31-12-2020 (MBL 48K 09-07-2020)</t>
  </si>
  <si>
    <t>Lic for 1 Year (01-7-2020 to 30-06-2021)(12K MBL 07-07-2020)</t>
  </si>
  <si>
    <t>Annual Lic Till 30-05-2020(7200 Rcvd Cash July-2020)</t>
  </si>
  <si>
    <t>SW=75K,Annual=15K (40K Cash 1st visit)(35K cash 14-06-2020)(6K MBL 17-06-2020 with Hardware Payment 17760)(9k MBL 20-07-2020)</t>
  </si>
  <si>
    <t>20-07-2020</t>
  </si>
  <si>
    <t>Abid Cloth</t>
  </si>
  <si>
    <t>Upper Story</t>
  </si>
  <si>
    <t>22-07-2020</t>
  </si>
  <si>
    <t>Lic 31-7-2020 (12K),(12K MBL 22-07-2020)</t>
  </si>
  <si>
    <t>Lic 31-7-2021 (12K),Annual VPS=14400(26,400 MBL 27-07-2020)</t>
  </si>
  <si>
    <t>SW=40K,Annual 12K,Attend SW=25K (Promise 04-12-2019 before Shadi of Neice, again promise 10-12-2019)(20K cash Zeeshan 12-12-2019)(20Kcash jamshed new godown 29-07-2020)</t>
  </si>
  <si>
    <t>For the Month of July-2020</t>
  </si>
  <si>
    <t>For the Month of June-2020</t>
  </si>
  <si>
    <t>Riaz</t>
  </si>
  <si>
    <t>04-08-2020</t>
  </si>
  <si>
    <t>31-07-2020</t>
  </si>
  <si>
    <t>30-07-2020</t>
  </si>
  <si>
    <t>Bashir</t>
  </si>
  <si>
    <t>06-08-2020</t>
  </si>
  <si>
    <t>Lic Till 31-12-2020 @1000x6=6000 + VPS @1200x6=7200</t>
  </si>
  <si>
    <t>Zebi (08-08-2020)</t>
  </si>
  <si>
    <t>MJS</t>
  </si>
  <si>
    <t>Altaf</t>
  </si>
  <si>
    <t>Factory</t>
  </si>
  <si>
    <t>08-08-2020</t>
  </si>
  <si>
    <t>Addl Work Audit Report 10K,2K Visit Chrgs (12K Paid by Altaf sb 08-08-2020)</t>
  </si>
  <si>
    <t>SW=20K (3 Month Free Service) --&gt; on 08-08-2020 after used 2 3 month Zebi cancelled the order and no payment --&gt; very surprised as professional masi behra bana huwa ha</t>
  </si>
  <si>
    <t>Total Package 90K (40K rcvd cash by Waqar 20K given me)(25K 29-04-2020 cash myself at Save+, 12500 given to Waqar)(25K cash 30-07-2020)(12500 to Waqar 04-08-2020 MBL)</t>
  </si>
  <si>
    <t>Sr.No.</t>
  </si>
  <si>
    <t>Shop</t>
  </si>
  <si>
    <t>Database</t>
  </si>
  <si>
    <t>Trunk Bazar</t>
  </si>
  <si>
    <t>Raja Bazar 1</t>
  </si>
  <si>
    <t>Raja Bazar 2</t>
  </si>
  <si>
    <t>Khana 1</t>
  </si>
  <si>
    <t>Khana 2</t>
  </si>
  <si>
    <t>G-11</t>
  </si>
  <si>
    <t>Head Office</t>
  </si>
  <si>
    <t>Start From 01-01-2020 to 31-12-2020</t>
  </si>
  <si>
    <t>Deal was 50% at the time of confirmation of order but Tahir sb change the deal</t>
  </si>
  <si>
    <t>Annual License</t>
  </si>
  <si>
    <t>Online VPS</t>
  </si>
  <si>
    <t>Note:- From 01-07-2020 onward Annual + Online charges exempted on G-11 Branch (Closed)</t>
  </si>
  <si>
    <t>S/W Deal</t>
  </si>
  <si>
    <t>Annual Payment  in Advance</t>
  </si>
  <si>
    <t>License Fee + Online VPS Charges</t>
  </si>
  <si>
    <t>Prices are excl of Tax and None refundable.</t>
  </si>
  <si>
    <t>Payment Received</t>
  </si>
  <si>
    <t>09-02-2020</t>
  </si>
  <si>
    <t>-</t>
  </si>
  <si>
    <t>06-05-2020</t>
  </si>
  <si>
    <t>10-07-2020</t>
  </si>
  <si>
    <t>11-08-2020</t>
  </si>
  <si>
    <t xml:space="preserve">on request that he will pay 30,000/- before 5th every month </t>
  </si>
  <si>
    <t>V Late</t>
  </si>
  <si>
    <t>Apr-2020</t>
  </si>
  <si>
    <t>13-08-2020 Statement for Mrs.Tahir</t>
  </si>
  <si>
    <t>Lic 31-01-2021(24K MBL 13-08-2020)</t>
  </si>
  <si>
    <t>Lic Till 31-12-2020 @1000x6=6000 + VPS @1200x6=7200(26400 MBL 14-08-2020)</t>
  </si>
  <si>
    <t>Swabi</t>
  </si>
  <si>
    <t>15-08-2020</t>
  </si>
  <si>
    <t>YUM Restaurant</t>
  </si>
  <si>
    <t>Haji A Manan</t>
  </si>
  <si>
    <t>Haji Abdul Manan</t>
  </si>
  <si>
    <t>17-08-2020</t>
  </si>
  <si>
    <t>SW=30K,Annual=12K,VPS Setup=15K,VPS Annual=1440 (HardWare=62K MBL 17-06-2020)(No VPS)</t>
  </si>
  <si>
    <t>Punjab Milk Shop</t>
  </si>
  <si>
    <t>Muzaffar</t>
  </si>
  <si>
    <t>22-08-2020</t>
  </si>
  <si>
    <t>SW=30K,6 Month=6K (33000 cash 21-08-2020 3K disc, Lic 01-09-2020 to 28-02-2021)</t>
  </si>
  <si>
    <t>Friends Mall</t>
  </si>
  <si>
    <t>Sardar M Ishtiaq</t>
  </si>
  <si>
    <t>26-08-2020</t>
  </si>
  <si>
    <t>25-08-2020</t>
  </si>
  <si>
    <t>Accts=50K,Debit Note=15K,Attandance=20K,Annual=12K(50K Cash+20K MBL 25-08-2020)</t>
  </si>
  <si>
    <t>Training 12K from 20-07-2020 to 16-08-2020,6K Cash 25-08-2020</t>
  </si>
  <si>
    <t>Azher After install didn't pay…ruddly refused.</t>
  </si>
  <si>
    <t>SW=50K,Annual=6K for one PC(25K Cash 13-07-2020 by Mubashir at my office)(25K Aug-2020)</t>
  </si>
  <si>
    <t>SW=35K,Annual=12K,SMS=15K,Card Module=15K (47K Cash PWD 27-08-2020, 5K Given to Nadeem 28-08-2020)</t>
  </si>
  <si>
    <t>28-08-2020</t>
  </si>
  <si>
    <t>VPS Monthly = 1200x12=14400 Till 31-08-2021 F-10 Branch (14400 Cash 28-08-2020)</t>
  </si>
  <si>
    <t>01-09-2020</t>
  </si>
  <si>
    <t>SW=40K,SMS=15K,Annual=12K,VPS Monthly=16800(Payment Cleard by Rehan, 5500 Com to Rehan)</t>
  </si>
  <si>
    <t>Haji Manan</t>
  </si>
  <si>
    <t>Col Tariq</t>
  </si>
  <si>
    <t>MH Rawalpndi</t>
  </si>
  <si>
    <t>Col Obaid</t>
  </si>
  <si>
    <t>Lic 31-07-2021 for 2 Shops @600/- Per Month (14400 MBL 31-08-2020)</t>
  </si>
  <si>
    <t>For the Month of August-2020</t>
  </si>
  <si>
    <t>03-09--2020</t>
  </si>
  <si>
    <t>Lic 12 Month (12k MBL 03-09-2020)</t>
  </si>
  <si>
    <t>Broadway Gate-1</t>
  </si>
  <si>
    <t>Online SW=20K (Offline=30K and if need to upgrade to Online then 20K more)</t>
  </si>
  <si>
    <t>Lic Till 31-08-2021 (12K Cash Azher sb 04-09-2020 at my office)</t>
  </si>
  <si>
    <t>04-09-2020</t>
  </si>
  <si>
    <t>VPS 01-09-2020 to 30-11-2020 (49500+4500, 20K MBL 03-09-2020)(15K+15K+4K MBL 07-09-2020)</t>
  </si>
  <si>
    <t>Raja Zahid</t>
  </si>
  <si>
    <t>10-09-2020</t>
  </si>
  <si>
    <t>12-09-2020</t>
  </si>
  <si>
    <t>Separate Server from Jehangir (30K for Server price was 29,500/- adv 500/- July-2020)(30K Cash by Mehran 15-08-2020)(9500 Cash 12-09-2020)</t>
  </si>
  <si>
    <t>Lic 6 Month (01-09-2020 to 28-02-2021)(45K 14-09-2020)</t>
  </si>
  <si>
    <t>Kashmir Chappal Store</t>
  </si>
  <si>
    <t>16-09-2020</t>
  </si>
  <si>
    <t>Attendance OverTime=10K (Disc=2K)(8K Paid Sep-10)</t>
  </si>
  <si>
    <t>Lic (8k paid 10-09-2020)</t>
  </si>
  <si>
    <t>18-09-2020</t>
  </si>
  <si>
    <t>Books</t>
  </si>
  <si>
    <t>Sardar Ishtiaq</t>
  </si>
  <si>
    <t>Pwd</t>
  </si>
  <si>
    <t>Card Module=15K,2 PC extra configure=10K (25K Cash 29-09-2020 from PWD personal visit for discuss and training)</t>
  </si>
  <si>
    <t xml:space="preserve">Bake Oven </t>
  </si>
  <si>
    <t>Garison</t>
  </si>
  <si>
    <t>Lic 31-03-2021 (MBL 3300 30-09-2020)</t>
  </si>
  <si>
    <t>Lic till 31-08-2021 (6K MBL 30-09-2020)</t>
  </si>
  <si>
    <t>VPS Monthly Only 1200x6=7200 (16-09-2020 to 15-03-2021)(7200 MBL 16-09-2020)(14400 MBL 30-09-2020)</t>
  </si>
  <si>
    <t>For the Month of Sep-2020</t>
  </si>
  <si>
    <t>01-10-2020</t>
  </si>
  <si>
    <t>Bilal Chemicals</t>
  </si>
  <si>
    <t>Lic 31-03-2021 6Month (6K MBL 01-10-2020)</t>
  </si>
  <si>
    <t>CR Module=150K,6Month=40K,SMS Module=25K,USB Dongle=6K,(Network=242K MBL 242K 09-09-2020)(85K MBL 02-10-2020)</t>
  </si>
  <si>
    <t>10-10-2020</t>
  </si>
  <si>
    <t>12-10-2020</t>
  </si>
  <si>
    <t>SW=65K,Annual 4K (01-09-2020 to 31-12-2020),VPS 1500x3=4500 Till 30-11-2020(20K Cash by Hamza 15-08-2020)(30K MBL 30-09-2020)(23500 MBL 10-10-2020)</t>
  </si>
  <si>
    <t>14-10-2020</t>
  </si>
  <si>
    <t>15-09-2020</t>
  </si>
  <si>
    <t>18-10-2020</t>
  </si>
  <si>
    <t>Lic 15-07-2020 to 14-07-2021 (MBL 19-10-2020)</t>
  </si>
  <si>
    <t>Per Month=1K Per DB(Bakery=1K,Refresh=1K)(15-09-2020 to 15-03-2020)(12K Cash 16-10-2020)</t>
  </si>
  <si>
    <t>Kashmir Shoes</t>
  </si>
  <si>
    <t>15-03-2021</t>
  </si>
  <si>
    <t>19-10-2020</t>
  </si>
  <si>
    <t>Server from home to Godown, then Godown to Home (25K+25K)25K cash by Umar 19-10-2020</t>
  </si>
  <si>
    <t>SW=30K,Annual 4K (01-09-2020 to 31-12-2020) (8500 PC + 9500 Printer)(25K Cash 15-08-2020)(25K cash Sadiq Abad 15-10-2020)</t>
  </si>
  <si>
    <t>VPS 01-09-2020 to 28-02-2021 (1500x6=9K, 9K MBL 03-09-2020)</t>
  </si>
  <si>
    <t>Broadway Gate-2</t>
  </si>
  <si>
    <t>VPS @1500x6=9000 01-10-2020 to 31-03-2021)(9K MBL 22-10-2020)</t>
  </si>
  <si>
    <t>Lic 01-10-2020 to 31-03-2021(MBL 21-10-2020)</t>
  </si>
  <si>
    <t>27-10-2020</t>
  </si>
  <si>
    <t>SW=50K,Annual=12K (Golra Mor Shop Cash 62K by Asad sb 27-10-2020 Lic 01-09-2020 to 31-10-2021)</t>
  </si>
  <si>
    <t>Brdgr Mansoor</t>
  </si>
  <si>
    <t>28-10-2020</t>
  </si>
  <si>
    <t>Lic 31-03-2021 6Month(Cash 15K by Imran 31-10-2020)</t>
  </si>
  <si>
    <t>For the Month of Oct-2020</t>
  </si>
  <si>
    <t>Lic 01-11-2020 to 30-10-2021(12K MBL 02-11-2020)</t>
  </si>
  <si>
    <t>02-11-2020</t>
  </si>
  <si>
    <t>Lic 6 Month (30-04-2021) (6K MBL 31-10-2020)</t>
  </si>
  <si>
    <t>CMH Baitulmal</t>
  </si>
  <si>
    <t>Zahoor/Rab Nawaz</t>
  </si>
  <si>
    <t>05-11-2020</t>
  </si>
  <si>
    <t>07-11-2020</t>
  </si>
  <si>
    <t>VPS 3Month @2200 Till 23-01-2021(6600 cash from Saddar Branch 07-11-2020)</t>
  </si>
  <si>
    <t>MJS G-13</t>
  </si>
  <si>
    <t>Laeeq</t>
  </si>
  <si>
    <t>Isalambad</t>
  </si>
  <si>
    <t>06-11-2020</t>
  </si>
  <si>
    <t>SW=50K,Annual=12K,VPS Annual=14400(14400 MBL 05-11-2020)</t>
  </si>
  <si>
    <t>Previouse 31-03-2020 due to Covid-19 free Given 02-06-2020 Till 30-06-2020(6K MBL 09-11-2020)</t>
  </si>
  <si>
    <t>10-11-2020</t>
  </si>
  <si>
    <t>VPS for Main+Movia shop Setup=20K,Annual 16800x2=33600 (53600 Cash by Imran Sh 11-11-2020)</t>
  </si>
  <si>
    <t>09-11-2021</t>
  </si>
  <si>
    <t>Lic From (5k cash by Tauqeer 17-10-2020)(10K cash 12-11-2020 by Tauqeer Lic Till 30-10-2021)</t>
  </si>
  <si>
    <t>Yum (YFC Kamra + Cake Fateh Jang)</t>
  </si>
  <si>
    <t>Cake Software=25K,Annual 6K (SW started 30-12-2019)(25K MBL 13-05-2020)</t>
  </si>
  <si>
    <t>Sr.No</t>
  </si>
  <si>
    <t>Setup</t>
  </si>
  <si>
    <t>VPS Monthly</t>
  </si>
  <si>
    <t>Month</t>
  </si>
  <si>
    <t>HeadOffice+Cake</t>
  </si>
  <si>
    <t>Hassan Abdal</t>
  </si>
  <si>
    <t>Hassan Abdal Refreshment</t>
  </si>
  <si>
    <t>Wah Café</t>
  </si>
  <si>
    <t>Kamra</t>
  </si>
  <si>
    <t>Kamra Refreshment</t>
  </si>
  <si>
    <t>Nawab Abad</t>
  </si>
  <si>
    <t>Basti</t>
  </si>
  <si>
    <t>Basti Refreshment</t>
  </si>
  <si>
    <t>YFC Basti</t>
  </si>
  <si>
    <t>YFC Nawabad</t>
  </si>
  <si>
    <t>YFC Kamra</t>
  </si>
  <si>
    <t>Rewayat DHA</t>
  </si>
  <si>
    <t>24-11-2020</t>
  </si>
  <si>
    <t>For the Month of Nov-2020</t>
  </si>
  <si>
    <t>Lic for 2 Shops (Till 30-11-2021)</t>
  </si>
  <si>
    <t>KPI</t>
  </si>
  <si>
    <t>Rameez</t>
  </si>
  <si>
    <t>Usman Traders</t>
  </si>
  <si>
    <t>02-12-2020</t>
  </si>
  <si>
    <t>Advance PCU</t>
  </si>
  <si>
    <t>Fayyaz/Sajjad-&gt;Owner</t>
  </si>
  <si>
    <t>01-12-2020</t>
  </si>
  <si>
    <t>03-12-2020</t>
  </si>
  <si>
    <t>MBL 7K 03-12-2020</t>
  </si>
  <si>
    <t>04-12-2020</t>
  </si>
  <si>
    <t>Haji Saeed</t>
  </si>
  <si>
    <t>Yums 13+DHA 1 Setup VSP@1500/- x 3 x 14=63000 01-11-2020 to 31-01-2021 (MBL 28-11-2020 4500/- 54K MBL 30-11-2020)(4500 MBL 09-12-2020)</t>
  </si>
  <si>
    <t>Shoe Factory SW=80,Annual=18K,VPS=14400(112400 Cash 02-12-2020)</t>
  </si>
  <si>
    <t>Setup Fee=15K,Annual=14400 (07-12-2020 to 06-12-2021) (15K Cash 04-12-2020)(14400 EasyPaisa 12-12-2020)</t>
  </si>
  <si>
    <t>12-12-2020</t>
  </si>
  <si>
    <t>16-12-2020</t>
  </si>
  <si>
    <t>Lic 31-12-2021(12K MBL 16-12-2020)</t>
  </si>
  <si>
    <t>Lic 6 Month 01-12-2020 to 31-05-2021(48K MBL 16-12-2020)</t>
  </si>
  <si>
    <t>19-12-2020</t>
  </si>
  <si>
    <t>Charli Shoes by Tahir sb (Online-&gt;POS+Inventory+barcode+Accounts)+Offline-&gt;POS</t>
  </si>
  <si>
    <t>VPS=15K,VPS 6Month@1200=7200</t>
  </si>
  <si>
    <t>14-07-2020</t>
  </si>
  <si>
    <t>10-08-2020</t>
  </si>
  <si>
    <t>07-09-2020</t>
  </si>
  <si>
    <t>09-10-2020</t>
  </si>
  <si>
    <t>17-11-2020</t>
  </si>
  <si>
    <t>Total Balance</t>
  </si>
  <si>
    <t>Bill</t>
  </si>
  <si>
    <t>SW=20K,Annual=6K(7K MBL 24-04-2020)(10K MBL 28-05-2020)(5K 22-10-2020)</t>
  </si>
  <si>
    <t>Milli Shoes Lahore</t>
  </si>
  <si>
    <t>23-12-2020</t>
  </si>
  <si>
    <t>Lice Til=30-06-2021,VPS=7200/- (12K MBL)</t>
  </si>
  <si>
    <t>24-12-2020</t>
  </si>
  <si>
    <t>Lic=12K,VPS=14400 (26400 Cash by Umar 24-12-2020)</t>
  </si>
  <si>
    <t xml:space="preserve">ROOP SINGHAR   </t>
  </si>
  <si>
    <t>29-12-2020</t>
  </si>
  <si>
    <t>Lic Till 31-12-2021 (12K MBL 28-12-2020)</t>
  </si>
  <si>
    <t>Talagan</t>
  </si>
  <si>
    <t>Lic 30-06-2021</t>
  </si>
  <si>
    <t>Honey Garments F-10</t>
  </si>
  <si>
    <t>Lic Till 30-06-2021</t>
  </si>
  <si>
    <t>Lic Till 31-12-2021 for 2 Shop (Shoes + Mall)(24K Cash by Tauqeer 29-12-2020)</t>
  </si>
  <si>
    <t>VPS=14400,Lic=6K Till 31-12-2021 (Cash by Umer 30-12-2020)</t>
  </si>
  <si>
    <t>VPS=14400,x2=28,800,Lic=6Kx2=12K Till 31-12-2021 (Cash by Umer 30-12-2020)</t>
  </si>
  <si>
    <t>Lic Till 31-12-2021 cash by Tauqeer 29-12-2020</t>
  </si>
  <si>
    <t>30-12-2020</t>
  </si>
  <si>
    <t>Lic Till 30-09-2021 (18K MBL 07-10-2020)</t>
  </si>
  <si>
    <t>Lic Till 31-12-2020 for 2 Shops (31-12-2020)</t>
  </si>
  <si>
    <t>Haji Saeed Building Material</t>
  </si>
  <si>
    <t>Azher Weigh</t>
  </si>
  <si>
    <t>(Lic Given Sana Ullah 31-12-2020 w.e.f 01-01-2021 to 31-12-2021)</t>
  </si>
  <si>
    <t>Broadway Bakery</t>
  </si>
  <si>
    <t>Aamir Tavels</t>
  </si>
  <si>
    <t>Abtabd</t>
  </si>
  <si>
    <t>Lic Till 31-12-2021(6K MBL 31-12-2020)</t>
  </si>
  <si>
    <t>Abid Hosiery</t>
  </si>
  <si>
    <t>Attiq</t>
  </si>
  <si>
    <t>Lic 31-12-2021 (12K MBL 31-12-2021)</t>
  </si>
  <si>
    <t xml:space="preserve">Mukhtar </t>
  </si>
  <si>
    <t>Charli Shoes</t>
  </si>
  <si>
    <t>Tahir</t>
  </si>
  <si>
    <t>Per Month</t>
  </si>
  <si>
    <t>Months</t>
  </si>
  <si>
    <t>Detail</t>
  </si>
  <si>
    <t>VPS Online DB Charges</t>
  </si>
  <si>
    <t>Software License/Support</t>
  </si>
  <si>
    <t xml:space="preserve">SW=40K,Annual=12K Lic=31-12-2021,(20K MBL 08-12-2020)(21K MBL 08-12-2020)911K MBL 31-12-20200) </t>
  </si>
  <si>
    <t>VPS+Lic Till 31-12-2021</t>
  </si>
  <si>
    <t>Setup/DB</t>
  </si>
  <si>
    <t>Mega Brand by Adnan</t>
  </si>
  <si>
    <t>Umair Travel</t>
  </si>
  <si>
    <t>Lic 30-06-2021 (6k MBL 31-12-2020)</t>
  </si>
  <si>
    <t>The Best School Uniform</t>
  </si>
  <si>
    <t>For the Month of Dec-2020</t>
  </si>
  <si>
    <t>01-01-2021</t>
  </si>
  <si>
    <t>VPS Monthly @1200x6=7200+Software Lice=9K wef 01-01-2021 to 30-06-2021</t>
  </si>
  <si>
    <t>31-12-2021</t>
  </si>
  <si>
    <t>30-06-2021</t>
  </si>
  <si>
    <t>Lic=31-12-2021</t>
  </si>
  <si>
    <t xml:space="preserve">Hina Center   </t>
  </si>
  <si>
    <t>Samanduri</t>
  </si>
  <si>
    <t>Lic=12K Till 31-12-2021 (12K MBL 01-01-2021)</t>
  </si>
  <si>
    <t>SW=80K,Annual=18K,VPS=14400 (50K MBL 30-11-2020)(50K MBL 15-12-2020)(12400 MBL 01-01-2021)</t>
  </si>
  <si>
    <t>Servic</t>
  </si>
  <si>
    <t>Whole-Sale</t>
  </si>
  <si>
    <t>Mandi Bahuddin</t>
  </si>
  <si>
    <t>02-01-2021</t>
  </si>
  <si>
    <t>Bilal Chemical Store</t>
  </si>
  <si>
    <t>Hussain Sb</t>
  </si>
  <si>
    <t>Namak</t>
  </si>
  <si>
    <t>Lic=31-12-2021 (12K MBL 02-01-2021)</t>
  </si>
  <si>
    <t>Lic=12K,VPS=14400 (26400 MBL 23-12-2020)(4K MBL 01-01-2021 for 2nd Shop)</t>
  </si>
  <si>
    <t>Lic 30-06-2021(6K easypaisa 02-01-2020)</t>
  </si>
  <si>
    <t>Hazara Express</t>
  </si>
  <si>
    <t>HKS by Naveed</t>
  </si>
  <si>
    <t>YUM Hamza Setup</t>
  </si>
  <si>
    <t>Hamaz</t>
  </si>
  <si>
    <t>Lic=31-12-2021(156K cash by Hamza/Abu Baker Wah 02-01-2021)</t>
  </si>
  <si>
    <t>Lic Till 31-12-2021 (Anwar Chowk + Gulistan Colony)(24K cash Gulistan Colony 02-01-2021)</t>
  </si>
  <si>
    <t xml:space="preserve">City Brand by Khawar </t>
  </si>
  <si>
    <t>03-01-2021</t>
  </si>
  <si>
    <t>Lic=30-06-2021 (6K MBL 03-01-2021)</t>
  </si>
  <si>
    <t>Rewaiyat by YUM</t>
  </si>
  <si>
    <t>Khushnood</t>
  </si>
  <si>
    <t>04-01-2021</t>
  </si>
  <si>
    <t>Lic=31-12-2021 (12K MBL 04-01-2021)</t>
  </si>
  <si>
    <t>Hush Puppies Shoes Store</t>
  </si>
  <si>
    <t>Lic 31-12-2021 tak diya but payment 6 Month ki ayi ha</t>
  </si>
  <si>
    <t>Hosiery+Toys</t>
  </si>
  <si>
    <t>SW=25K,Annual=12K(Cash 5K 18-09-2020)(20K Cash by Yasir 09-10-2020)</t>
  </si>
  <si>
    <t>SW=40K,Per Month=1500(1st 10K+4500=14.5K)(14500 MBL 21-10-2020)(30K MBL 05-01-2021 13,500/- Discount)</t>
  </si>
  <si>
    <t>Lic+VPS=31-12-2021 68800/- MBL 05-01-2021</t>
  </si>
  <si>
    <t>Lic Till 30-06-2021(6K MBL 05-01-2021-)</t>
  </si>
  <si>
    <t>Lic=30-06-2021 (6K MBL 05-01-2021)</t>
  </si>
  <si>
    <t>05-01-2021</t>
  </si>
  <si>
    <t>Lic=30-06-2021 (cash 6K Sajid sweets 05-01-2021)</t>
  </si>
  <si>
    <t>Lic=31-12-2021 (cash 6K Sajid sweets 05-01-2021)</t>
  </si>
  <si>
    <t>Lic=31-12-2021 (12K MBL 06-01-2021)</t>
  </si>
  <si>
    <t>06-01-2021</t>
  </si>
  <si>
    <t>Lic Till 31-12-2021(07-01-2021 12K Cash in Office by Munshi)</t>
  </si>
  <si>
    <t>Lic=12K Till 31-12-2021(12K Cash PWD 07-01-2021)</t>
  </si>
  <si>
    <t>Al-Mehraj Travel</t>
  </si>
  <si>
    <t>Matloob</t>
  </si>
  <si>
    <t>07-01-2021</t>
  </si>
  <si>
    <t>Lic=31-12-2021 (12K MBL 07-01-2021)</t>
  </si>
  <si>
    <t>2021 Added</t>
  </si>
  <si>
    <t>Lic/Support 4 Setup x 12K=48,000</t>
  </si>
  <si>
    <t>Online Server 4 Setupx1200=57,600</t>
  </si>
  <si>
    <t>Till 31-12-2021</t>
  </si>
  <si>
    <t>Net Total</t>
  </si>
  <si>
    <t>Covid-19 Not Given</t>
  </si>
  <si>
    <t>Lic=28-02-2021 (8 Computers) (8K Cash by Umer 07-01-2021)</t>
  </si>
  <si>
    <t>Lic+VPS for Factory=31-12-2021 (Lic=12000+14400=26400)(Cash 26400 by Umer from Factory 09-01-2021)</t>
  </si>
  <si>
    <t>Lic Till 31-12-2021 (4Setup*1500*12Month=72K)(22K Cash Rcvd 31-12-2020)(50K cash Rcvd 11-01-2021 by Mehran at my office)</t>
  </si>
  <si>
    <t>Lic+VPS for 2 Shops (Saddar+PWD) (48K by cash 11-01-2021)</t>
  </si>
  <si>
    <t>11-01-2021</t>
  </si>
  <si>
    <t>Lic=31-12-2021(Lic=12K,Upgrade=5K=17K-Disc 2K=15K) (15K MBL 11-01-2021)</t>
  </si>
  <si>
    <t>Lic 31-12-2021 (12-01-2021 15K cash by Bilal sb)</t>
  </si>
  <si>
    <t>Lic 31-12-2021 (NKS+SKS+KIT) (36K 17-01-2021 by Jamil Chachu)</t>
  </si>
  <si>
    <t>YUM Naeem sb</t>
  </si>
  <si>
    <t>Wah+Fateh Jag</t>
  </si>
  <si>
    <t>Naeem sb</t>
  </si>
  <si>
    <t>18-01-2021</t>
  </si>
  <si>
    <t>Lic=31-12-2021 (24K MBL 18-01-2021 by Abu Bakar)</t>
  </si>
  <si>
    <t>Lic=31-12-2021 (12K MBL 18-01-2021)</t>
  </si>
  <si>
    <t>01-01-2021 to 30-06-2021 (Online+License)</t>
  </si>
  <si>
    <t>Prev. Bal</t>
  </si>
  <si>
    <t>Net Bal</t>
  </si>
  <si>
    <r>
      <t>1.</t>
    </r>
    <r>
      <rPr>
        <b/>
        <sz val="7"/>
        <color rgb="FF31849B"/>
        <rFont val="Times New Roman"/>
        <family val="1"/>
      </rPr>
      <t xml:space="preserve">       </t>
    </r>
    <r>
      <rPr>
        <b/>
        <sz val="11"/>
        <color rgb="FF31849B"/>
        <rFont val="Calibri"/>
        <family val="2"/>
        <scheme val="minor"/>
      </rPr>
      <t xml:space="preserve">Accounts Management System 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</si>
  <si>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 xml:space="preserve">Complete Financial Chart of Accounts 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</si>
  <si>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Voucher System (Double Entry)</t>
    </r>
  </si>
  <si>
    <r>
      <t xml:space="preserve"> </t>
    </r>
    <r>
      <rPr>
        <sz val="11"/>
        <color rgb="FF000000"/>
        <rFont val="Calibri"/>
        <family val="2"/>
        <scheme val="minor"/>
      </rPr>
      <t>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Cash Receipt Voucher</t>
    </r>
  </si>
  <si>
    <r>
      <t xml:space="preserve"> </t>
    </r>
    <r>
      <rPr>
        <sz val="11"/>
        <color rgb="FF000000"/>
        <rFont val="Calibri"/>
        <family val="2"/>
        <scheme val="minor"/>
      </rPr>
      <t>ii.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Cash Payment Voucher</t>
    </r>
  </si>
  <si>
    <r>
      <t xml:space="preserve"> </t>
    </r>
    <r>
      <rPr>
        <sz val="11"/>
        <color rgb="FF000000"/>
        <rFont val="Calibri"/>
        <family val="2"/>
        <scheme val="minor"/>
      </rPr>
      <t>iii.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Bank Receipt Voucher</t>
    </r>
  </si>
  <si>
    <r>
      <t xml:space="preserve"> </t>
    </r>
    <r>
      <rPr>
        <sz val="11"/>
        <color rgb="FF000000"/>
        <rFont val="Calibri"/>
        <family val="2"/>
        <scheme val="minor"/>
      </rPr>
      <t>iv.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Bank Receipt Voucher</t>
    </r>
  </si>
  <si>
    <r>
      <t xml:space="preserve">  </t>
    </r>
    <r>
      <rPr>
        <sz val="11"/>
        <color rgb="FF000000"/>
        <rFont val="Calibri"/>
        <family val="2"/>
        <scheme val="minor"/>
      </rPr>
      <t>v.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Journal Voucher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</si>
  <si>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Financial Reports</t>
    </r>
  </si>
  <si>
    <r>
      <t xml:space="preserve"> </t>
    </r>
    <r>
      <rPr>
        <sz val="11"/>
        <color rgb="FF000000"/>
        <rFont val="Calibri"/>
        <family val="2"/>
        <scheme val="minor"/>
      </rPr>
      <t>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Day Book</t>
    </r>
  </si>
  <si>
    <r>
      <t xml:space="preserve"> </t>
    </r>
    <r>
      <rPr>
        <sz val="11"/>
        <color rgb="FF000000"/>
        <rFont val="Calibri"/>
        <family val="2"/>
        <scheme val="minor"/>
      </rPr>
      <t>ii.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Cash Book</t>
    </r>
  </si>
  <si>
    <r>
      <t xml:space="preserve"> </t>
    </r>
    <r>
      <rPr>
        <sz val="11"/>
        <color rgb="FF000000"/>
        <rFont val="Calibri"/>
        <family val="2"/>
        <scheme val="minor"/>
      </rPr>
      <t>iii.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Bank Book</t>
    </r>
  </si>
  <si>
    <r>
      <t xml:space="preserve"> </t>
    </r>
    <r>
      <rPr>
        <sz val="11"/>
        <color rgb="FF000000"/>
        <rFont val="Calibri"/>
        <family val="2"/>
        <scheme val="minor"/>
      </rPr>
      <t>iv.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Party Ledger</t>
    </r>
  </si>
  <si>
    <r>
      <t>2.</t>
    </r>
    <r>
      <rPr>
        <b/>
        <sz val="7"/>
        <color rgb="FF31849B"/>
        <rFont val="Times New Roman"/>
        <family val="1"/>
      </rPr>
      <t xml:space="preserve">       </t>
    </r>
    <r>
      <rPr>
        <b/>
        <sz val="11"/>
        <color rgb="FF31849B"/>
        <rFont val="Calibri"/>
        <family val="2"/>
        <scheme val="minor"/>
      </rPr>
      <t>Purchase / Debit Note Module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</si>
  <si>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Party Management (Create / Edit)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</si>
  <si>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Goods (Raw Material/Finish Product) Receiving Module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</si>
  <si>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 xml:space="preserve">Through Purchase Module: </t>
    </r>
  </si>
  <si>
    <r>
      <t xml:space="preserve"> </t>
    </r>
    <r>
      <rPr>
        <sz val="11"/>
        <color rgb="FF000000"/>
        <rFont val="Calibri"/>
        <family val="2"/>
        <scheme val="minor"/>
      </rPr>
      <t>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Inventory control on real time</t>
    </r>
  </si>
  <si>
    <r>
      <t xml:space="preserve"> </t>
    </r>
    <r>
      <rPr>
        <sz val="11"/>
        <color rgb="FF000000"/>
        <rFont val="Calibri"/>
        <family val="2"/>
        <scheme val="minor"/>
      </rPr>
      <t>ii.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Impact on Financial Accounts (on Party Ledger)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</si>
  <si>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Track History of each Purchase Bill</t>
    </r>
  </si>
  <si>
    <r>
      <t>3.</t>
    </r>
    <r>
      <rPr>
        <b/>
        <sz val="7"/>
        <color rgb="FF31849B"/>
        <rFont val="Times New Roman"/>
        <family val="1"/>
      </rPr>
      <t xml:space="preserve">       </t>
    </r>
    <r>
      <rPr>
        <b/>
        <sz val="11"/>
        <color rgb="FF31849B"/>
        <rFont val="Calibri"/>
        <family val="2"/>
        <scheme val="minor"/>
      </rPr>
      <t>Sale Module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</si>
  <si>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Properly Goods (Raw Material/Finish Products) Bill to Parties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</si>
  <si>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Track every Bill</t>
    </r>
  </si>
  <si>
    <r>
      <t>c.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Maintain History of every Sale Bill</t>
    </r>
  </si>
  <si>
    <r>
      <t>d.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 xml:space="preserve">Maintain Item/Raw Material Good History/Log </t>
    </r>
  </si>
  <si>
    <r>
      <t>4.</t>
    </r>
    <r>
      <rPr>
        <b/>
        <sz val="7"/>
        <color rgb="FF31849B"/>
        <rFont val="Times New Roman"/>
        <family val="1"/>
      </rPr>
      <t xml:space="preserve">       </t>
    </r>
    <r>
      <rPr>
        <b/>
        <sz val="11"/>
        <color rgb="FF31849B"/>
        <rFont val="Calibri"/>
        <family val="2"/>
        <scheme val="minor"/>
      </rPr>
      <t>Production Module</t>
    </r>
  </si>
  <si>
    <t>Security / User Rights Module</t>
  </si>
  <si>
    <t>Training Charges (First time)</t>
  </si>
  <si>
    <t>Server Configure on Widows</t>
  </si>
  <si>
    <t>Note: If Server configure on Linux</t>
  </si>
  <si>
    <t>Any Help will be available through anydesk from 9am to 6pm</t>
  </si>
  <si>
    <t>Khawaja Mushtaq Date:19-Jan-2021</t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</si>
  <si>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Based on Recipe Raw Material to  Finish Product Control</t>
    </r>
  </si>
  <si>
    <r>
      <t>b.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Maintaince Inventory (Raw Material + Finish Products)</t>
    </r>
  </si>
  <si>
    <r>
      <t>5.</t>
    </r>
    <r>
      <rPr>
        <b/>
        <sz val="7"/>
        <color rgb="FF31849B"/>
        <rFont val="Times New Roman"/>
        <family val="1"/>
      </rPr>
      <t xml:space="preserve">       </t>
    </r>
    <r>
      <rPr>
        <b/>
        <sz val="11"/>
        <color rgb="FF31849B"/>
        <rFont val="Calibri"/>
        <family val="2"/>
        <scheme val="minor"/>
      </rPr>
      <t>Recipe Module</t>
    </r>
  </si>
  <si>
    <r>
      <t>a.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Properly Maintain and Create Recipe of Finish Product</t>
    </r>
  </si>
  <si>
    <r>
      <t>b.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Maintain Stock of Raw Material + Finish Product</t>
    </r>
  </si>
  <si>
    <r>
      <t xml:space="preserve"> </t>
    </r>
    <r>
      <rPr>
        <sz val="11"/>
        <color rgb="FF000000"/>
        <rFont val="Calibri"/>
        <family val="2"/>
        <scheme val="minor"/>
      </rPr>
      <t>vi.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Accounts Payable Statement</t>
    </r>
  </si>
  <si>
    <r>
      <t xml:space="preserve"> </t>
    </r>
    <r>
      <rPr>
        <sz val="11"/>
        <color rgb="FF000000"/>
        <rFont val="Calibri"/>
        <family val="2"/>
        <scheme val="minor"/>
      </rPr>
      <t>v.</t>
    </r>
    <r>
      <rPr>
        <sz val="7"/>
        <color rgb="FF000000"/>
        <rFont val="Times New Roman"/>
        <family val="1"/>
      </rPr>
      <t xml:space="preserve">      </t>
    </r>
    <r>
      <rPr>
        <sz val="11"/>
        <color rgb="FF000000"/>
        <rFont val="Calibri"/>
        <family val="2"/>
        <scheme val="minor"/>
      </rPr>
      <t>Accounts Receivable Statement</t>
    </r>
  </si>
  <si>
    <t>Costing</t>
  </si>
  <si>
    <t>Factory @30,000/- x 3 =</t>
  </si>
  <si>
    <t>Warehouse</t>
  </si>
  <si>
    <t>Cost</t>
  </si>
  <si>
    <t>Online Costing</t>
  </si>
  <si>
    <t>Per Database Setup Fee</t>
  </si>
  <si>
    <t>License/Support Online Annually @1000/- Per Month Per Setup</t>
  </si>
  <si>
    <t>Annually Database Fee @1200/- PerMonth Per Setup</t>
  </si>
  <si>
    <t>Total Software</t>
  </si>
  <si>
    <t>Total Online</t>
  </si>
  <si>
    <t>1. Raw Material Stock IN from Head Office</t>
  </si>
  <si>
    <t>2. Production Control from Head Office based on Recipe</t>
  </si>
  <si>
    <t>3. Stock OUT -&gt; Finish Product from Head Office to Warehouse Online</t>
  </si>
  <si>
    <t>4. Stock OUT to Parties</t>
  </si>
  <si>
    <t>5. Stock IN from parties/Warehouse (Sale Return)</t>
  </si>
  <si>
    <t>6. stock OUT to Vender (Purchase Return)</t>
  </si>
  <si>
    <t>7. Wastage Control and Maintain Inventory</t>
  </si>
  <si>
    <t>8. Financial Accounts System as Head Office</t>
  </si>
  <si>
    <t>9. Labour Payment based on Production</t>
  </si>
  <si>
    <t>10. Stock Reports Raw Material</t>
  </si>
  <si>
    <t>11. Stock Reports Finish Products</t>
  </si>
  <si>
    <t>12. Detail Report of Wastages</t>
  </si>
  <si>
    <t>Lic Till 30-06-2021 (40K MBL 29-01-2021)</t>
  </si>
  <si>
    <t>MH Stationary</t>
  </si>
  <si>
    <t>Deputy CO</t>
  </si>
  <si>
    <t>29-01-2021</t>
  </si>
  <si>
    <t>SW=50K,Visit=3000 (53K MBL 29-01-2021)</t>
  </si>
  <si>
    <t>01-02-2021</t>
  </si>
  <si>
    <t>For the Month of Jan-2021</t>
  </si>
  <si>
    <t>Lic=31-12-2021 (12k Lic+15K Online on Naveed sb Server Promise of Payment 12-01-2021)(12K cash by Umer Jan-2021)</t>
  </si>
  <si>
    <t>Rasheed Sweets(Receipt STRN)=10K,Waqar Floor Mills(New)=10K,Kashmir Floor=4K(Reconfigure),MJS Scale?(10K 22-12-2020)(10K cash 02-02-2021 Rasheed Sweets=7K,Kashmir Floor=3K)</t>
  </si>
  <si>
    <t>New Nadeem Garments</t>
  </si>
  <si>
    <t>Rizwan</t>
  </si>
  <si>
    <t>02-02-2021</t>
  </si>
  <si>
    <t>Jamil Sweets Golra Shop</t>
  </si>
  <si>
    <t>Jamil Sweets (VPS + License Old)</t>
  </si>
  <si>
    <t>03-02-2021</t>
  </si>
  <si>
    <t>YUM (Hassan Abdal)</t>
  </si>
  <si>
    <t>06-02-2021</t>
  </si>
  <si>
    <t>SMS Software 15K (15500 MBL 06-02-2021)</t>
  </si>
  <si>
    <t>Yums 13+DHA 1 Setup VSP@1500/- x 3 x 14=63000 01-02-2021 to 30-04-2021(15K MBL 02-02-2021)(4500 MBL Rewaiyat 02-02-2021)(20K MBL 03-02-2021)(23500 MBL 08-02-2021)</t>
  </si>
  <si>
    <t>Lic Till 31-12-2021 (50K cash at my office 02-01-2021)(20K cash 08-02-2021)</t>
  </si>
  <si>
    <t>10-02-2021</t>
  </si>
  <si>
    <t>YFC Hassan Abdal</t>
  </si>
  <si>
    <t>VPS=6600 (23-01-21 to 24-04-21),Lic 6 Month Dispatch&amp;Rcvd Dept Rs.6000/-,Module for Dispatch=5000 on 10-02-2021(17600 MBL 11-02-2021)</t>
  </si>
  <si>
    <t>x</t>
  </si>
  <si>
    <t>120K cash 15-02-2021 by Jamshed sb</t>
  </si>
  <si>
    <t>Waqas sb</t>
  </si>
  <si>
    <t>15-02-2021</t>
  </si>
  <si>
    <t>17-02-2021</t>
  </si>
  <si>
    <t>Whole-Sale Shop+SadiqAbad 2+Khana+Swabi+Tarnol=6x12000=60K (KhanaPul 12K 19-01-2021)(12K 20-01-2021 MBL)(12K MBL 20-01-2021)(12K MBL 17-02-2021)(Zahoor sb Tarnol + Swabi ko delete karwa diya, Swabi wala system Sadiq Abad bijwa diya)</t>
  </si>
  <si>
    <t>Grace Ware</t>
  </si>
  <si>
    <t>Khawaja Mushtaq / Ahsan</t>
  </si>
  <si>
    <t>30-04-2021</t>
  </si>
  <si>
    <t>KPI Factory</t>
  </si>
  <si>
    <t>KPI Shop</t>
  </si>
  <si>
    <t>24-04-2021</t>
  </si>
  <si>
    <t>MH CR</t>
  </si>
  <si>
    <t>18-02-2021</t>
  </si>
  <si>
    <t xml:space="preserve">Rahat Refreshment </t>
  </si>
  <si>
    <t>By Shanawaz</t>
  </si>
  <si>
    <t>16-02-2020</t>
  </si>
  <si>
    <t>22-02-2021</t>
  </si>
  <si>
    <t>VPS New Setup 1200x7=8400 w.e.f Feb to 15-Sep-2021 (8400 MBL 22-02-2021)</t>
  </si>
  <si>
    <t>Kashmir Chappal Store (Belleza shoes)</t>
  </si>
  <si>
    <t>23-02-2021</t>
  </si>
  <si>
    <t>Belleza shoes SW=45K,Disc=30%=13500,Annual=12k Till=15-09-2021(7Month)</t>
  </si>
  <si>
    <t>YFC Kamra Rs.50K,Monthly 1K,VPS @1500x3=4500,cake Fateh Jang Rs.25K,Monthly 500,Cake Order Kamra 25K (25K MBL 18-11-2020)(10K MBL 09-12-2020 with VPS for Kamra)(15K MBL 14-12-2020)(10K 11-12-2020 MBL)(30K MBL 12-02-2021)(17500 MBL 22-02-2021)</t>
  </si>
  <si>
    <t>24-02-2021</t>
  </si>
  <si>
    <t>Servic Shoe</t>
  </si>
  <si>
    <t>Pulao Club</t>
  </si>
  <si>
    <t>25-02-2021</t>
  </si>
  <si>
    <t>SW=25K for Wharehouse,Lic Till 30-06-2021=3K(28K MBL 25-02-2021)</t>
  </si>
  <si>
    <t>Lic Till 31-03-2021 (2 Shops for 6 Month)(12K MBL 01-10-2020)</t>
  </si>
  <si>
    <t>SW=50K,Annual=15K,VPS=14400 (50K MBL 06-01-2021)(33400 -&gt; 29400 for SW,4K logo design MBL 27-02-2021)</t>
  </si>
  <si>
    <t>No Decided. Free of Cost(5K 25-02-2021 cash)</t>
  </si>
  <si>
    <t>15-02-2022</t>
  </si>
  <si>
    <t>VPS DB Setup=15K*10Setup, Annual=14400*10 (15-02-2021 to 16-02-2022) (2Lac(16-02-2021 by Fozaib cash)(94K 04-03-2021 by Waqas cash)</t>
  </si>
  <si>
    <t>Jamil Sweets (Factory)</t>
  </si>
  <si>
    <t>04-03-2021</t>
  </si>
  <si>
    <t>Werdaan Bakery</t>
  </si>
  <si>
    <t>Razzaq</t>
  </si>
  <si>
    <t>05-03-2021</t>
  </si>
  <si>
    <t>Deduct</t>
  </si>
  <si>
    <t>Net Balance</t>
  </si>
  <si>
    <t>Salman Sweets (Main Branch</t>
  </si>
  <si>
    <t>10-03-2021</t>
  </si>
  <si>
    <t>SW=40K,Annual=12K(Cash 10K 18-09-2020)(25K easypaisa 25-02-2021,5K easypaisa 10-03-2021)</t>
  </si>
  <si>
    <t>12-03-2021</t>
  </si>
  <si>
    <t>Sweets=6K,Refreshement=6K-&gt; Asia Gate Till 14-09-2021 (12K MBL 12-03-2021)</t>
  </si>
  <si>
    <t>Lic=31-08-2021 (45K) (45K MBL 12-03-2021)</t>
  </si>
  <si>
    <t>Metro Mall by Baba Shoes</t>
  </si>
  <si>
    <t>09-03-2021</t>
  </si>
  <si>
    <t>Arslan</t>
  </si>
  <si>
    <t>VPS 16-03-2021 to 15-09-2021 (1200x9x6=64800) (MBL 64800/- 15-03-2021)</t>
  </si>
  <si>
    <t>Grace Ware  VPS</t>
  </si>
  <si>
    <t>Lic 31-12-2021  (18K MBL 16-03-2021)</t>
  </si>
  <si>
    <t>Lic=31-12-2021(5K MBL 17-03-2021)</t>
  </si>
  <si>
    <t>03-09-2020</t>
  </si>
  <si>
    <t>01-03-2021</t>
  </si>
  <si>
    <t>20-03-2021</t>
  </si>
  <si>
    <t>Lic Paid (8K Cash by Umair 20-03-2021 from 01-03-2021 to 30-04-2021)</t>
  </si>
  <si>
    <t>Lic Till 31-12-2021 (12K MBL 25-03-2021)</t>
  </si>
  <si>
    <t>Ghalti se likha gya</t>
  </si>
  <si>
    <t>CR Module 40K for 6 Month Lic=01-03-2021 to 31-08-2021 (40K MBL 24-03-2021)</t>
  </si>
  <si>
    <t>Lic Till 30-06-2021 (6Month)(6K UBL Omni 23-03-2021)</t>
  </si>
  <si>
    <t>Shop 1</t>
  </si>
  <si>
    <t>19-11-2020</t>
  </si>
  <si>
    <t>19-01-2021</t>
  </si>
  <si>
    <t>19-02-2021</t>
  </si>
  <si>
    <t>Shop 2</t>
  </si>
  <si>
    <t>Shop 3</t>
  </si>
  <si>
    <t>Shop 4</t>
  </si>
  <si>
    <t>Received</t>
  </si>
  <si>
    <t>Actual Total</t>
  </si>
  <si>
    <t>7 Shops + 1 Head Office @57000 x 8 = 456000</t>
  </si>
  <si>
    <t>Balace</t>
  </si>
  <si>
    <t>Kashmir Chappal (25-03-2021)</t>
  </si>
  <si>
    <t>Shop 5 Partial</t>
  </si>
  <si>
    <t>Shop 5 Remaining</t>
  </si>
  <si>
    <t>26-03-2021</t>
  </si>
  <si>
    <t>Shop 6</t>
  </si>
  <si>
    <t>Mehfil-e-Shiren</t>
  </si>
  <si>
    <t>For the Month of Feb-2021</t>
  </si>
  <si>
    <t>The Brand City</t>
  </si>
  <si>
    <t>Liaqat</t>
  </si>
  <si>
    <t>01-04-2021</t>
  </si>
  <si>
    <t>Azeem</t>
  </si>
  <si>
    <t>Jamil Sweets Bahria Phase-7</t>
  </si>
  <si>
    <t>SW=25K,Lice Mar21-Feb-22 10K (25K MBL 12-03-2021)(12K MBL 05-04-2021)</t>
  </si>
  <si>
    <t>Raja Shazad</t>
  </si>
  <si>
    <t>05-04-2021</t>
  </si>
  <si>
    <t>Lic+VPS Till 31-03-2022 (26400 MBL 05-04-2021)</t>
  </si>
  <si>
    <t>06-04-2021</t>
  </si>
  <si>
    <t>SW=50K,Annual=9K,VPS=10800 (9Month 01-04-2021 to 31-12-2021)(69800 Cash at factory 06-04-2021)</t>
  </si>
  <si>
    <t>Lic=31-03-2022 for 24K,Services=3K on 08-04-2021 (MBL 27K 10-04-2021)</t>
  </si>
  <si>
    <t>Azeem/Shanawz</t>
  </si>
  <si>
    <t>12-04-2021</t>
  </si>
  <si>
    <t>Lic=12K Till 31-03-2022 (12K MBL)</t>
  </si>
  <si>
    <t>Jamil Sweets PWD</t>
  </si>
  <si>
    <t>Jamil Sweets Scheme-3</t>
  </si>
  <si>
    <t>Lic=6K (30-06-2021) (5K MBL 12-04-2021) previous Bal=7K</t>
  </si>
  <si>
    <t>Lic Till=31-03-2022 (12K MBL 12-04-2021)</t>
  </si>
  <si>
    <t>Faisalabad Shop 45K,Annual 1200x10=12000(Cash 55K 11-04-2021)</t>
  </si>
  <si>
    <t>SW=50K,Annual=9K,VPS=1200*9=10800 (9Month 01-04-2021 to 31-12-2021)(89600 Cash from factory by Umer 17-04-2021)</t>
  </si>
  <si>
    <t>14-04-2021</t>
  </si>
  <si>
    <t>Khana License Deduct from 01-03-2021 to 31-12-2021(2000/- Mrs.Tahir ki request per Weave Off kar diye (14-04-2021)</t>
  </si>
  <si>
    <t>15-09-2021</t>
  </si>
  <si>
    <t>17-04-2021</t>
  </si>
  <si>
    <t>YFC Hassan Abdal=50k,Annual=11K Till=31-12-2021,VPS=4500 Till 30-04-2021 (20K MBL 02-03-2021)(20K MBL 06-03-2021)(10K MBL 12-03-2021)(25K MBL 03-04-2021)</t>
  </si>
  <si>
    <t>Kashmir Chappal Store (VPS)</t>
  </si>
  <si>
    <t>VPS 1500*5=7500+1500=9000 (01-04-2021 to 31-08-2021 + (One Month 01-03-2021 to 31-03-2021 Gulistan Colony Closed))(Anwar Chowk Closed 01-04-2021)(1500 MBL 17-04-2021)</t>
  </si>
  <si>
    <t>Abid Hosiery (Dina Franchise)</t>
  </si>
  <si>
    <t>Dina</t>
  </si>
  <si>
    <t>22-04-2021</t>
  </si>
  <si>
    <t>SW=40K,Annual=12K,VPS=16800 (68800 MBL 22-04-2021) Lic=01-05-2021 to 30-04-2022</t>
  </si>
  <si>
    <t>Kashmir Chappal Store (Lady Like)</t>
  </si>
  <si>
    <t>LadyLike shoes SW=45K,Disc=30%=13500,Annual=12k Till=15-09-2021(7Month)</t>
  </si>
  <si>
    <t>VPS=9600 Till 15-09-2021 @1200*5=6000</t>
  </si>
  <si>
    <t>Kashmir Chappal Store (Lady Like) VPS</t>
  </si>
  <si>
    <t>CMH Accounts Work</t>
  </si>
  <si>
    <t>Rab Nawaz</t>
  </si>
  <si>
    <t>Network Problem resolved (5500 Cash by Rab Nawaz sb 23-04-2021)</t>
  </si>
  <si>
    <t>New Rawal Motors</t>
  </si>
  <si>
    <t>23-04-2021</t>
  </si>
  <si>
    <t>Army Store</t>
  </si>
  <si>
    <t>Rauf</t>
  </si>
  <si>
    <t>28-04-2021</t>
  </si>
  <si>
    <t>Outsource 40K for Club Invoice Items and Detail invoice items (40K MBL 28-04-2021)</t>
  </si>
  <si>
    <t>29-04-2021</t>
  </si>
  <si>
    <t>Lic + VPS 31-12-2021 (26400 Cash by Son at my office 29-04-2021)</t>
  </si>
  <si>
    <t>LadyLike SW=45K,Annual Till 15-09-2021=5K,VPS=6000</t>
  </si>
  <si>
    <t>Shop 7 Partial Cash at my office</t>
  </si>
  <si>
    <t>YUM Rewayt VPS</t>
  </si>
  <si>
    <t>VPS=30-7-2021 (4500 MBL 29-04-2021)</t>
  </si>
  <si>
    <t>For the Month of Mar-2021</t>
  </si>
  <si>
    <t>01-05-2021</t>
  </si>
  <si>
    <t>JS</t>
  </si>
  <si>
    <t>VPS Head Office +Golra Mor Shop @1200 x 2 x 11 = 26400 (01-02-2021 to 31-12-2021) (26400 Cash Saddar Branch 19-02-2021)</t>
  </si>
  <si>
    <t>SW=50K,Annual=9K,VPS=10800 (9Month 01-04-2021 to 31-12-2021)(50k from Factory 06-05-2021 by Umer)</t>
  </si>
  <si>
    <t>The Army Store</t>
  </si>
  <si>
    <t>20/21 April</t>
  </si>
  <si>
    <t>Qand Fishan</t>
  </si>
  <si>
    <t>Taimor</t>
  </si>
  <si>
    <t>06-05-2021</t>
  </si>
  <si>
    <t>VPS=30-7-2021 (25K MBL 30-04-2021)(30KMBL 02-05-2021)(8k MBL May-21)</t>
  </si>
  <si>
    <t>SW+Annual = 430K (100K Cash at Saddar 13-03-2021)(100K Cash by Fozaib 18-03-2021)(130K Cash by Umer Home 22-04-2021)(100K cash by Umer Home 8-05-2021)</t>
  </si>
  <si>
    <t>12-05-2021</t>
  </si>
  <si>
    <t>Add</t>
  </si>
  <si>
    <t>Meezan Bank Received</t>
  </si>
  <si>
    <t>(Cash 30K 07-01-2020)(Cash 30K 09-02-2020)(Cash 30K 06-03-2020)(Cash 30K 06-05-2020)(Cash 30K 29-06-2020)(Cash 30K 10-07-2020)(Cash 30K 11-08-2020)(Cash 30K 12-09-2020 by Shoaib)(30K cash 10-10-2020 by Shoaib)(30K cash 08-11-2020 by Shoaib at home)(30K cash 03-12-2020 by Shoaib at home)(30K cash 06-01-2021 by Shoaib at home)(30K Cash from Shop 06-02-2021)(30K cash by Shoaib at off 12-03-2021)(20K by Shoaib at HOme 20/21 April)(20K from Shop 12-05-2021)</t>
  </si>
  <si>
    <t>Chandni (Stemar)</t>
  </si>
  <si>
    <t>28-02-2022</t>
  </si>
  <si>
    <t>Abid Hosery Dina</t>
  </si>
  <si>
    <t>19-05-2021</t>
  </si>
  <si>
    <t>26-05-2021</t>
  </si>
  <si>
    <t>31-05-2021</t>
  </si>
  <si>
    <t>Lic 30-05-2022 (15K MBL 01-06-2021)</t>
  </si>
  <si>
    <t>01-06-2021</t>
  </si>
  <si>
    <t xml:space="preserve">Inventory Create in Pizza New </t>
  </si>
  <si>
    <t>Lic for 2 Month 01-05-2021 to 05-07-2021 (8PC x 500 x 2 = 8000)(Pending work 3K)</t>
  </si>
  <si>
    <t>Trade Store</t>
  </si>
  <si>
    <t>Saqib</t>
  </si>
  <si>
    <t>02-06-2021</t>
  </si>
  <si>
    <t>07-06-2021</t>
  </si>
  <si>
    <t>Variety Shoes</t>
  </si>
  <si>
    <t>Bashir sb</t>
  </si>
  <si>
    <t>Airport Society</t>
  </si>
  <si>
    <t>05-06-2021</t>
  </si>
  <si>
    <t>Lic 30-09-2021 (15K Cash 3-06-2021)</t>
  </si>
  <si>
    <t>10-06-2021</t>
  </si>
  <si>
    <t>SW=45K,Annual=12K(7 Shops+1 Head Office)(57K MBL 19-10-2020)(57K MBL 19-11-2020)(57K MBL 19-12-2020)(57K MBL 19-01-2021)(50K MBL 19-02-2021)(7K MBL 24-02-2021)(57K MBL 26-03-2021)(50K Cash 17-04-2021)(15K MBL 29-04-2021)(30K MBL 19-05-2021)(25K MBL 10-06-2021)</t>
  </si>
  <si>
    <t>SW=FBR=70K,Online=15K (disc=10K),Annual=12K,VPS=14400 (01-05-2021 to 30-04-2022)(50K MBL 08-05-2021)(100K MBL 08-06-2021)(180K cash by Azher 10-06-2021)</t>
  </si>
  <si>
    <t>Lic 6 Month 01-06-2021 to 30-11-2021(45K MBL 15-06-2021)</t>
  </si>
  <si>
    <t>Lic Till 31-05-2022(12K cash from sajid sweets by Azher sb 16-06-2021)</t>
  </si>
  <si>
    <t>VPS @1400x12=16800 (01-06-2021 to 31-05-2022)(33600 17-06-2021 by Umer from Shop)</t>
  </si>
  <si>
    <t>SW+Hardware for CMH Baitul Mall + Pharmacy (Baitul Mall=30K for 6Month)(130K MBL 21-06-2021)</t>
  </si>
  <si>
    <t>For the Month of May-2021</t>
  </si>
  <si>
    <t>For the Month of Ap-2021</t>
  </si>
  <si>
    <t>22-06-2021</t>
  </si>
  <si>
    <t>Annual 3x6x1000=18,000/- Till 31-12-2021 (Cash 18K by Azeem 22-06-2021)</t>
  </si>
  <si>
    <t>01-07-2021 to 31-12-2021 (Online+License)</t>
  </si>
  <si>
    <t>23-06-21</t>
  </si>
  <si>
    <t>23-06-2021</t>
  </si>
  <si>
    <t>VPS Monthly @1200x6=7200+Software Lice 1500x6=9K wef 01-07-2021 to 31-2-2021</t>
  </si>
  <si>
    <t>SW=60K,Att SW=25K,Mobile App=50K,Annual=18K, 23K Disc.,VPS=15K,VPS 6Month@1200=7200(Cash 22K for VPS 08-07-2020)(15K MBL 14-07-2020)(5K MBL 20-07-2020)(Waqar App Deal = 4K, 2K paid 23-07-2020, GEO=14K,1600 Paid 17-08-2020)(20K MBL 10-08-2020)(20K MBL 07-09-2020)(20K MBL 09-10-2020)(20K MBL 17-11-2020)(20K MBL 24-12-2020)(20K MBL 14-04-2021)</t>
  </si>
  <si>
    <t>25-06-2021</t>
  </si>
  <si>
    <t>Lic 31-12-2021 (6K MBL 25-06-2021)</t>
  </si>
  <si>
    <t>26400 MBL 04-01-2021 (26400 MBL 28-06-2021)</t>
  </si>
  <si>
    <t>Bank Road VPS + License</t>
  </si>
  <si>
    <t>28-06-2021</t>
  </si>
  <si>
    <t xml:space="preserve">Bank Road Branch SW=50K,6Month 6000,VPS Bank Road (1200*6),VPS 2 extra x 1200=14400 (77600 Cash by Bank Road Umer 29-06-2021) </t>
  </si>
  <si>
    <t>29-06-2021</t>
  </si>
  <si>
    <t>01-07-2021</t>
  </si>
  <si>
    <t>Talagand</t>
  </si>
  <si>
    <t>Meezan Bank (12k+8k)</t>
  </si>
  <si>
    <t>Lic for 2 Shops 01-07-2021 to 31-12-2021 (12K MBL Aamir 29-06-2021)</t>
  </si>
  <si>
    <t>For the Month of June-2021</t>
  </si>
  <si>
    <t>SW=25K,Annual=12K (20K 20-02-2021 By Fawad cash)(5K adjusted in 2 printers with 2K from Mansehra baker for Rolls and 10K transfer cash bank)(Lic Till 31-08-2021 on 01/07/2021 Payment rcvd by Shahnawaz sb)</t>
  </si>
  <si>
    <t>Basharat/Khurram</t>
  </si>
  <si>
    <t>Lic=31-12-2021 (MBL 01-07-2021)</t>
  </si>
  <si>
    <t>Umair Air Travels</t>
  </si>
  <si>
    <t>YUM FBR POS For WAH Bakery</t>
  </si>
  <si>
    <t>02-07-2021</t>
  </si>
  <si>
    <t>03-07-2021</t>
  </si>
  <si>
    <t>6Shop+1Head Office, Lic=31-12-2021,Previous Balance=42K (60K cash Jan-21)(34K cash by Nomi 17-02-2021)(25K MBL 03-07-2021)</t>
  </si>
  <si>
    <t>Lic for 01-07-2021 to 31-12-21 6k(6K MBL Amir 05-07-2021)</t>
  </si>
  <si>
    <t>05-07-2021</t>
  </si>
  <si>
    <t xml:space="preserve">Lic 31-12-2021 </t>
  </si>
  <si>
    <t>JS E-11 Branch</t>
  </si>
  <si>
    <t>06-07-2021</t>
  </si>
  <si>
    <t>E-11 Branch 50K,6K Lic Till 31-12-2021</t>
  </si>
  <si>
    <t>JS DHA Phase II Branch</t>
  </si>
  <si>
    <t>07-07-2021</t>
  </si>
  <si>
    <t>Salman Sweet Factory VPS</t>
  </si>
  <si>
    <t>Lic 01-07-2021 to 31-08-2021 (500x2x8=8000) (MBL 8K Jul-2021)</t>
  </si>
  <si>
    <t>FBR POS Configure (70K 10-07-2021 cash from wah)</t>
  </si>
  <si>
    <t>ePoch</t>
  </si>
  <si>
    <t>Amir</t>
  </si>
  <si>
    <t xml:space="preserve">Bhakar </t>
  </si>
  <si>
    <t>14-07-2021</t>
  </si>
  <si>
    <t>15-07-2021</t>
  </si>
  <si>
    <t>Very Late Payment after 2 months</t>
  </si>
  <si>
    <t>Lic=31-12-2021 (0317-5077871) (3K MBL 14-07-2021)(3K MBL 17-07-2021)</t>
  </si>
  <si>
    <t>DHA Phase II Branch 50K,6K Lic Till 31-12-2021 (1,12,000/- Cash from Factory by Umer 16-07-2021)</t>
  </si>
  <si>
    <t>MH CNE Billing</t>
  </si>
  <si>
    <t>Lic Till 31-12-2021 (40K MBL 19-07-2021)</t>
  </si>
  <si>
    <t xml:space="preserve">Masood </t>
  </si>
  <si>
    <t>19-07-2021</t>
  </si>
  <si>
    <t>(3K Meezan Bank 19-07-2021)</t>
  </si>
  <si>
    <t>FBR POS for Murree Rd,Commercial Market,Bahria(50K Cash 18Jul, 50K Cash 20K from shop,50K from Bahria 27Jul) 60K Not given--&gt; maravat ma mara giya</t>
  </si>
  <si>
    <t>FBR POS for Brancity Saddar,Giga,Atalian 60K (150K cash 17-07-2021)(30K cash 19-07-2021)</t>
  </si>
  <si>
    <t>20-07-2021</t>
  </si>
  <si>
    <t>SW=30K,Annual=12K (30K MBL 01-04-2021)(6K MBL 01-07-2021)(6K Easypaisa 01-08-2021)</t>
  </si>
  <si>
    <t>For the Month of July-2021</t>
  </si>
  <si>
    <t>SW=25k,Annual=12K (20K Waqar Bank 16-07-2021)(15K easypaisa Waqar 29-07-2021)</t>
  </si>
  <si>
    <t>Lic 31-7-2022 (Aamir MBL 01-08-2021)</t>
  </si>
  <si>
    <t>04-08-2021</t>
  </si>
  <si>
    <t>VPS Till 31-10-2021 for 3 Months</t>
  </si>
  <si>
    <t>Mir Bakers + Saif Bakers</t>
  </si>
  <si>
    <t>01-08-2021</t>
  </si>
  <si>
    <t>YUM NawabAbad FBR</t>
  </si>
  <si>
    <t>06-08-2021</t>
  </si>
  <si>
    <t>Lic Till 31-07-2022 CNE Billing</t>
  </si>
  <si>
    <t>Al Faisal Cloth</t>
  </si>
  <si>
    <t>Sh Ikram</t>
  </si>
  <si>
    <t>11-08-2021</t>
  </si>
  <si>
    <t>F-10 Branch +VPS</t>
  </si>
  <si>
    <t>07-08-2021</t>
  </si>
  <si>
    <t>Blue Area + VPS</t>
  </si>
  <si>
    <t>Till=31-12-2021 (Cash 32K)(Chq 84600)(Deduct 5400 for WHT)</t>
  </si>
  <si>
    <t>Milli Giga</t>
  </si>
  <si>
    <t>09-08-2021</t>
  </si>
  <si>
    <t>FBR POS=70K Payment cleared Aug-21</t>
  </si>
  <si>
    <t>26-08-2021</t>
  </si>
  <si>
    <t>90K x 4, 15K kam diya Mir Bakers ne (50K MBL Amir by Saif Baker 09-08-2021, 35K 7-8-2021 by Naeem sb at my office, 400K 31-07-2021 abbottabad motorway plaza)(50K MBL transfer by Saif Aug-2021)</t>
  </si>
  <si>
    <t>30-08-2021</t>
  </si>
  <si>
    <t>Lic 15-07-2021 to 14-07-2022 (30-08-2021 MBL)</t>
  </si>
  <si>
    <t>01-09-2021</t>
  </si>
  <si>
    <t>For the Month of Aug-2021</t>
  </si>
  <si>
    <t>Lic Till 28-02-2021(MBL Amir 02-09-2021)</t>
  </si>
  <si>
    <t>02-09-2021</t>
  </si>
  <si>
    <t>Lic Till 28-02-2022 6 month (6K MBL Amir 06-09-2021)</t>
  </si>
  <si>
    <t>Lic 01-09-2021 to 31-10-2021 (500x2x8=8000) (8K cash by hand at office mubashir 06-09-2021)</t>
  </si>
  <si>
    <t>Lic Till 31-08-2021, VPS=16800,Annual=12000 (cash by Waqar 09-09-2021)</t>
  </si>
  <si>
    <t>31-08-2022</t>
  </si>
  <si>
    <t>SW=30K,Annual=12K (30K 05-06-2021 Cash)(12K cash Nov.21)</t>
  </si>
  <si>
    <t>FBR POS=70K,POS=50K,Inventory=45K,Annual=18K,VPS=15K,Annual VPS=15K (Discount 16000) (100K Cash 11-08-2021 shop Wah)(50K cash 08-09-2021)(15-09-2021 Cash 50K from Wah)</t>
  </si>
  <si>
    <t>VPS=15K,VPS Annual=14400,Adaptor=5K (34,400 MBL 08-07-2021) License Till=30-06-2022</t>
  </si>
  <si>
    <t>Factory=120K,Annual=18K,Shop=50K,Annual=12K Discount=70K (50K Cash 05-02-2021)(40K cash rcvd by home before Eid May)(30K 15-09-2021)</t>
  </si>
  <si>
    <t>SW=198K,Annual=24K(@2k Per Month)(50K Cash 03-02-2021)(50K Cash 04-03-2021)(122K Cash by Bank Road 18-09-2021)</t>
  </si>
  <si>
    <t>Salman Dalazak (Bakery+Pizza)</t>
  </si>
  <si>
    <t>14-09-2022</t>
  </si>
  <si>
    <t>15-03-2022</t>
  </si>
  <si>
    <t>Salman Sweets Factory A/cs</t>
  </si>
  <si>
    <t>Kashmir Shoes VPS</t>
  </si>
  <si>
    <t>21-09-2021</t>
  </si>
  <si>
    <t>SW=25K,Annual=12K,VPS Annual=24K (24K Cash by Umer from Naveed sb Jan-21 with Hrdwr Payment 82K)(29K Cash 22-09-2021 SW=25k,Lic 4x1000=4K Sep-Dec21)</t>
  </si>
  <si>
    <t>Kaghan Sweets &amp; Bakers</t>
  </si>
  <si>
    <t>Jazeb / Zahid FBR</t>
  </si>
  <si>
    <t>24-09-2021</t>
  </si>
  <si>
    <t>SW POS=30K,Annual=12K (42k Cash 24-09-2021 by Jazib at my office)</t>
  </si>
  <si>
    <t xml:space="preserve">MULTI CHOICE SHOES </t>
  </si>
  <si>
    <t>27-09-2021</t>
  </si>
  <si>
    <t>VPS Annual=18K (13K MBL Amir 27-09-2021 5K SMS Dongle payment 'dongle given to Dr.Anis)</t>
  </si>
  <si>
    <t>01-10-2021</t>
  </si>
  <si>
    <t>30-09-2022</t>
  </si>
  <si>
    <t>Annual =12K Till 30-09-2022 (12K MBL 28-09-2021)</t>
  </si>
  <si>
    <t>VPS=14400,Annual=12000 (01-09-2021 to 28-02-2022 6Month),33600 Sw--&gt; One DB for 3 Story (1.Shoes, Dollar Shop, 3. Botique),10K for Khurram(30K Cash thr Tauqeer 01-09-2021)(18K MBL Amir 22-09-2021 6K for Khurram, 6K annual kam di bcz 6 month agreemtn confirm huwa)</t>
  </si>
  <si>
    <t>30-09-2021</t>
  </si>
  <si>
    <t>Sakardo</t>
  </si>
  <si>
    <t>Weigh Bridge Software update (15K MBL Amir 30-09-2021)</t>
  </si>
  <si>
    <t>Mir Bakers</t>
  </si>
  <si>
    <t>Saif Bakers</t>
  </si>
  <si>
    <t>For the Month of Sep-2021</t>
  </si>
  <si>
    <t>FBR POS (25K 24-08-2021)(25K 15-09-2021)(20K Easypaisa to Waqar 02-0-2021)</t>
  </si>
  <si>
    <t>FBR POS Bank Road + Sch-3</t>
  </si>
  <si>
    <t>POS Misc Points</t>
  </si>
  <si>
    <t>17-09-2021</t>
  </si>
  <si>
    <t>02-10-2021</t>
  </si>
  <si>
    <t>15K Reconfigure Server (20-09-2021) (15K Cash by Taqueer 02-10-2021)</t>
  </si>
  <si>
    <t>Al Faisal Plaza</t>
  </si>
  <si>
    <t>04-10-2021</t>
  </si>
  <si>
    <t>50K POS Misc Point in MS Word(5K More Disc. 45K Rcvd Saddar Shop 04-10-2021 'see above line)</t>
  </si>
  <si>
    <t>Lic 1500x6 = 9000 01-10-2021 to 31-03-2021 (04-10-2021)</t>
  </si>
  <si>
    <t>Nadeem Garments (Nimra Fashion)</t>
  </si>
  <si>
    <t>05-10-2021</t>
  </si>
  <si>
    <t>Added</t>
  </si>
  <si>
    <t>06-10-2021</t>
  </si>
  <si>
    <t>Paid MBL 05-10-2021</t>
  </si>
  <si>
    <t>Al Faisal Mall</t>
  </si>
  <si>
    <t>Nadeem Garments</t>
  </si>
  <si>
    <t>30-09-2023</t>
  </si>
  <si>
    <t>Wah 30-08-2022,Plaza 30-09-2023</t>
  </si>
  <si>
    <t>AddedAnnual Charges @1000x10Branchx4Month(Till 31-01-2022)</t>
  </si>
  <si>
    <t>03-10-2021</t>
  </si>
  <si>
    <t>Lic=15K @2500 Per monthx6 Till=31-03-2022</t>
  </si>
  <si>
    <t>S.S. Ghulam Hussin</t>
  </si>
  <si>
    <t>MBL 3K 06-10-2021 for lic</t>
  </si>
  <si>
    <t>MJs</t>
  </si>
  <si>
    <t>Modi SW=8K,Annual 12K  (8k MBL Aamir 27-09-2021)(6K Lic MBL 06-10-2021)</t>
  </si>
  <si>
    <t>SM Shoes (BrandCity Khurram)</t>
  </si>
  <si>
    <t>07-10-2021</t>
  </si>
  <si>
    <t>VPS=14400,Annual=12K,Disc=400 Till 30-09-2022(Cash by Sahib 26K 07-10-2021) (Receipt b the thi)</t>
  </si>
  <si>
    <t>Sahib Rehman Cement Agency</t>
  </si>
  <si>
    <t>NKS (Shoe Point)</t>
  </si>
  <si>
    <t>SW=25K Discount Annual Till 30-05-2022 (8K), Online 15K (25K MBL Aamir 11-10-2021)</t>
  </si>
  <si>
    <t>11-10-2021</t>
  </si>
  <si>
    <t>Lic 12K (12K MBL 11-10-2021)</t>
  </si>
  <si>
    <t>Umair Travels</t>
  </si>
  <si>
    <t>12-10-2021</t>
  </si>
  <si>
    <t>SW=25K,Annual=12K,VPS Setup=15K,VPS Annual=11400,Discount SWAnnual=3K(19K Cash on Shop 05-10-2021)(25K cash by Umer from shop 12-10-2021)</t>
  </si>
  <si>
    <t>Peerzai International Travels &amp; Tour</t>
  </si>
  <si>
    <t>Mir Afzal</t>
  </si>
  <si>
    <t>14-10-2021</t>
  </si>
  <si>
    <t>FBR POS Bahria Ph-7</t>
  </si>
  <si>
    <t>15-10-2021</t>
  </si>
  <si>
    <t>08-07-2021</t>
  </si>
  <si>
    <t>FBR POS @70K (Bank Road+Sch-3)(20K Disc. 60K 05-10-2021 Saddar Shop 'Note: 105K Rcvd 60K for FBR POS,45K for POS Misc)(100K Cash factory by Umer 18-0-2021)</t>
  </si>
  <si>
    <t>FBR POS @70K ,Disc=10K (See 2 lines above cash rcvd 18-10-2021)</t>
  </si>
  <si>
    <t>FBR POS E-11</t>
  </si>
  <si>
    <t>21-10-2021</t>
  </si>
  <si>
    <t>SW=19K,Annual=12K (19K MBL 14-10-2021)(12K MBL 22-10-2021)</t>
  </si>
  <si>
    <t>From 01-11-2021 to 31-01-2022</t>
  </si>
  <si>
    <t>YUM Setup (VPS Charges for 3 Months)</t>
  </si>
  <si>
    <t>Note: Dollar increase rate not charged. Special Discounted prices.</t>
  </si>
  <si>
    <t>FBR POS=70K,POS=50K,Inventory=45K,Annual=15K,VPS=15K,Annual VPS=15K (Discount 10000)(Lic Till 30-09-2023) (130K Cash 04-10-2021 shop Wah)(100K cash 23-10-2021 on opening)</t>
  </si>
  <si>
    <t>Brg Mansoor</t>
  </si>
  <si>
    <t>17-10-2021</t>
  </si>
  <si>
    <t>Lic=12K Till 30-10-2022 (12K MBL 27-10-2021)</t>
  </si>
  <si>
    <t>FBR POS @70K ,Disc=10K (60K Rcvd--&gt; Total 86K Cash by Umer 29-10-2021)</t>
  </si>
  <si>
    <t>Misc Updates</t>
  </si>
  <si>
    <t>See Above Line</t>
  </si>
  <si>
    <t>HTS College Road FBR POS</t>
  </si>
  <si>
    <t>31-10-2021</t>
  </si>
  <si>
    <t>FBR POS for Colledge Road (70K Cash 31-10-21 from Rehan)</t>
  </si>
  <si>
    <t>VPS (Head office+Hotel 3x1500 01-11-2021 to 31-01-22)(Kamra + Hassand Abdal + Fateh Jang 1750*3=5250 01-11-2021 to 30-11-2021)(14250 Paid easypaid Waqar 31-10-2021 9000/-+01-11-2021 5250/-)</t>
  </si>
  <si>
    <t>MH Rwp</t>
  </si>
  <si>
    <t>26-10-2021</t>
  </si>
  <si>
    <t>40K 6Month Fee for CR System till 01-09-2021 to 28-02-2022,17600 Network for Inpatient (57600 MBL 26-10-2021)</t>
  </si>
  <si>
    <t>Annual Fee installment 4 Month</t>
  </si>
  <si>
    <t>01-10-2021 to 31-01-2022 (40K MBL 05-10-2021)</t>
  </si>
  <si>
    <t>Mir Bakers 1000x2x6 = 12K (12K MBL Amir 30-09-2021) till 28-02-2022)</t>
  </si>
  <si>
    <t>Saif Bakers 1000x2x6 = 12K (12K MBL Amir 01-10-2021) till 28-02-2022)</t>
  </si>
  <si>
    <t>05-11-2021</t>
  </si>
  <si>
    <t>SW=40K,Discount=23200,Annual=12K,VPS=15K Setup,1350x12=16200 Annual, (7K Cash Rcvd 02-06-2021)(18K Cash 28-10-2021)(5K 29-10-2021)(30K Cash on Shop Nov.-21)</t>
  </si>
  <si>
    <t>VPS Setup=15K,VPS Annual 1350x12=16200 Till 30-09-2022 (20K MBL 12-10-2021)(11200 MBL 5-11-2021)</t>
  </si>
  <si>
    <t xml:space="preserve">Ghani </t>
  </si>
  <si>
    <t>VPS=1480*12*2,SW Lic=800*12*2 Till 09-11-2022 (52800 MBL Zee 09-11-2021)</t>
  </si>
  <si>
    <t>09-11-2022</t>
  </si>
  <si>
    <t>10-11-2021</t>
  </si>
  <si>
    <t>Tokyo Electronics</t>
  </si>
  <si>
    <t>Mola Jan</t>
  </si>
  <si>
    <t>11-11-2021</t>
  </si>
  <si>
    <t>Transfer to Mujtaba</t>
  </si>
  <si>
    <t>Give to Rehana Maida for Operations</t>
  </si>
  <si>
    <t>13-11-2021</t>
  </si>
  <si>
    <t>MBL Rcvd</t>
  </si>
  <si>
    <t>15-11-2021</t>
  </si>
  <si>
    <t>Transfer to Chacha Jamil Attock for Patient in Hospital</t>
  </si>
  <si>
    <t>01-11-2021</t>
  </si>
  <si>
    <t>31-10-2022</t>
  </si>
  <si>
    <t>Lic Till 31-12-2021,Training Umer Attendance 1500 (9500 Cash 10-11-2021)</t>
  </si>
  <si>
    <t>FBR DHA+PWD</t>
  </si>
  <si>
    <t>FBR POS For Gents Shoes 70K (15-11-2021 Cash from Shop by Imran)</t>
  </si>
  <si>
    <t>18-11-2021</t>
  </si>
  <si>
    <t>Give to Qamar</t>
  </si>
  <si>
    <t>Bazz Electronics</t>
  </si>
  <si>
    <t>Shahzeb</t>
  </si>
  <si>
    <t>FBR Blue Area + Golra More</t>
  </si>
  <si>
    <t>20-11-2021</t>
  </si>
  <si>
    <t>FBR POS@70Kx2=140K Disct=20K(120K cash by Umar from Factory 16-11-2021)</t>
  </si>
  <si>
    <t>22-11-2020</t>
  </si>
  <si>
    <t>FBR POS@70Kx2=140K Disct=20K,Prev. Bal=7500(127500 cash by Umer 24-11-2021)</t>
  </si>
  <si>
    <t>Col Safi</t>
  </si>
  <si>
    <t>25-11-2021</t>
  </si>
  <si>
    <t>Col Mehmood</t>
  </si>
  <si>
    <t>26-11-2021</t>
  </si>
  <si>
    <t>29-11-2021</t>
  </si>
  <si>
    <t>Factory VPS=15360,Annual=18000,Shop VPs=15360,Annual=18000 (60K MBL 29-11-2021)(6720 nai diye)</t>
  </si>
  <si>
    <t>FBR POS F-10</t>
  </si>
  <si>
    <t>For the Month of Oct-2021</t>
  </si>
  <si>
    <t>For the Month of Nov-2021</t>
  </si>
  <si>
    <t>01-12-2021</t>
  </si>
  <si>
    <t>Annual=18k,VPS=1280x12=15360 (33,360 MBL Aamir)</t>
  </si>
  <si>
    <t>Atalian Shoes Chakwal</t>
  </si>
  <si>
    <t>VPS 1750x2Monthx3 Shops(Kamra,Fateh Jang,Hassan Abdal =Cake)(10500 Easy Paisa Waqar 01-12-2021)</t>
  </si>
  <si>
    <t>30-11-2022</t>
  </si>
  <si>
    <t>Lic 31-12-2021 VPS=7200,Lic=6000,Bal=1200 (12K MBL)</t>
  </si>
  <si>
    <t>FBR POS@70K Disct=10K,FBR POS Update 45K,Factory+Golra Attendance 13K x 2=26K (60K cash bank road 08-12-2021)</t>
  </si>
  <si>
    <t>Husnain</t>
  </si>
  <si>
    <t>Lic Till 30-10-2022 (6K cash from shop Nov-21,6K cash at office by husnain 10-12-2021)</t>
  </si>
  <si>
    <t>Lic 01-12-2021 to 30-05-2022 (45K MBL 14-12-2021)</t>
  </si>
  <si>
    <t>CMH Surgical Equipment</t>
  </si>
  <si>
    <t>Khattock sb</t>
  </si>
  <si>
    <t>13-12-2021</t>
  </si>
  <si>
    <t>SW=140K,HW=350K (50% of 490K is 233975/- MBL 13-12-2021 4.5Income Tax = 11025)</t>
  </si>
  <si>
    <t>New Shop replace of Tuck Shop SW=25K (Disc=5K) ,Annual=12K(10K Amir Nazir MBL 10-12-2021)(27K Amir MBL 14-12-2021)</t>
  </si>
  <si>
    <t>Linux=35K,SSD=15K Ahmed sb,Bus Fare 8500 = 58500/-(58500 MBL 14-12-2021)</t>
  </si>
  <si>
    <t>ZKTeco Att. Machine Software inst.05-11-2021 pay:25-11-2021(25K 02-12-2021 by Mubashir)(10K by Mubashir on Road 15-12-2021 Total Given 11600-&gt; 1600 for previous balace)</t>
  </si>
  <si>
    <t>Attendance + FBR Prev.</t>
  </si>
  <si>
    <t>18-12-2021</t>
  </si>
  <si>
    <t>Attendanct 13000x10 = 130K, Previous Balance of FBR Additional Work (175K Cash from Factory by me 18-12-2021)</t>
  </si>
  <si>
    <t>SW=30x2,Annual=12Kx2,(4K for 2 shops monthly,7K previous balance) (Sw=Barakaho 1.Servic 22-11-2021,2.Bata, Tarliai 3.Service)(30K Cash Rcvd at my office by Raja sb 22-11-2021)(30K MBL 01-12-2021)</t>
  </si>
  <si>
    <t>YUM New Deal 17-12-2021</t>
  </si>
  <si>
    <t>17-12-2021</t>
  </si>
  <si>
    <t>20-12-2021</t>
  </si>
  <si>
    <t>22-12-2021</t>
  </si>
  <si>
    <t>Lic Till 31-12-2022 Head+Raja+Trunk</t>
  </si>
  <si>
    <t>VPS Till 31-12-2022 Head+Raja+Trunk</t>
  </si>
  <si>
    <t>Lic=12K,VPS=1280x12=15360,2nd Shop=700*12=8400 (35K MBL 22-12-2021)</t>
  </si>
  <si>
    <t>VPS + Lice</t>
  </si>
  <si>
    <t>23-12-2021</t>
  </si>
  <si>
    <t>30K EasyPaisa Waqar 18-12-2021,30K MBL Aamir 21-12-2021,20k MBL 22-12-2021</t>
  </si>
  <si>
    <t>Lic 31-12-2022 for 50K Lic + 1480x12=17760 VPS (67760 MBL 23-12-2021)</t>
  </si>
  <si>
    <t>Ladies Under Garment</t>
  </si>
  <si>
    <t>Lic 31-12-2022 (Lic=12K, VPS 1280x12=15360) (27360 Cash by Tauqeer 23-12-2021</t>
  </si>
  <si>
    <t>25-12-2021</t>
  </si>
  <si>
    <t>Lic 31-12-2022 for head office+modila+american (18K cash by Azeem 25-12-2021)</t>
  </si>
  <si>
    <t>Baba shoes</t>
  </si>
  <si>
    <t>27-12-2021</t>
  </si>
  <si>
    <t>Lic 31-12-2022</t>
  </si>
  <si>
    <t>28-12-2021</t>
  </si>
  <si>
    <t>Lic 31-12-2022,SW=12K,VPS 1280x12=15360= 27360</t>
  </si>
  <si>
    <t>Lic=31-12-2022 (12K MBL 28-12-2021)</t>
  </si>
  <si>
    <t>Lic Till 31-12-2022 ,VPs @1350/-x12=16200 (26400 MBL 28-12-2021)</t>
  </si>
  <si>
    <t>Lic Till 31-12-2022 (Head Office=24K,Shops 9x1200=108K,VPS 1200x10DB = 144K)(276K Cash Factory by me 28-12-2021)</t>
  </si>
  <si>
    <t>lic 30-06-2022 (6K MBL 27-12-21)</t>
  </si>
  <si>
    <t>30-12-2021</t>
  </si>
  <si>
    <t>31-12-2022</t>
  </si>
  <si>
    <t>01-01-2022</t>
  </si>
  <si>
    <t>Kadam PCU (Dream PCU)</t>
  </si>
  <si>
    <t>Lic 31-12-2022 (18K MBL 30-12-2021)</t>
  </si>
  <si>
    <t>Lic 31-12-2022 (2 Shops)(16K Amir MBL 27-12-2021)</t>
  </si>
  <si>
    <t>Lic 31-12-2022=6000,VPS 1350*12=16200 = 22,200/- (20400 MBL 30-12-2021)</t>
  </si>
  <si>
    <t>Lic 31-12-2020 + VPS @1460x12=17520 (29520/-)</t>
  </si>
  <si>
    <t>Lic 31-12-2022=6000x2=12K(Towel + First Need)Vps=1350x12x2=32400(40800 Cash at shop by me 28-12-2021)</t>
  </si>
  <si>
    <t>First Need + Towel Terminal</t>
  </si>
  <si>
    <t>Saif</t>
  </si>
  <si>
    <t>Lic 30-06-2022 (9x1000x6=54000+11000=65000 (50K Cash office 30-12-2021)</t>
  </si>
  <si>
    <t>Lic 31-12-2022 (12K Waqar EasyPaisa 30-12-2021)</t>
  </si>
  <si>
    <t>Lic 31-12-2022 (SW=18K,VPS 1350x12=16200=34200)(34200 MBL 31-12-2021)</t>
  </si>
  <si>
    <t>Lic 30-06-2022 for 2 Shops @1000/-x2shops x 6Month(12K MBL 31-12-2021)</t>
  </si>
  <si>
    <t>Fateh Jhang (Naeem)</t>
  </si>
  <si>
    <t>Fateh Jhang</t>
  </si>
  <si>
    <t>Aamir International Air</t>
  </si>
  <si>
    <t xml:space="preserve">Walk In </t>
  </si>
  <si>
    <t>lic 30-06-2022 (6K MBL 31-12-21)</t>
  </si>
  <si>
    <t>Lic 31-12-2022(214K cash by Tauqeer 31-12-2022)</t>
  </si>
  <si>
    <t>For the Month of Dec-2021</t>
  </si>
  <si>
    <t>For the Year of 2021</t>
  </si>
  <si>
    <t xml:space="preserve">Hammad </t>
  </si>
  <si>
    <t>VPS Till 30-06-2022</t>
  </si>
  <si>
    <t>Lic = Till 30-06-2022</t>
  </si>
  <si>
    <t>01-01-2022 MBL</t>
  </si>
  <si>
    <t>Blue Birds</t>
  </si>
  <si>
    <t>Baba Shoes FBR</t>
  </si>
  <si>
    <t>Lic 31-12-2022(12K MBL 01-01-2022)</t>
  </si>
  <si>
    <t xml:space="preserve">Multi Choice </t>
  </si>
  <si>
    <t>Ikran</t>
  </si>
  <si>
    <t>Lic 30-06-2022(6K EasyPaisa Nasira 01-01-2022)</t>
  </si>
  <si>
    <t>Samundari</t>
  </si>
  <si>
    <t>Hush Pupies</t>
  </si>
  <si>
    <t>New Brand City</t>
  </si>
  <si>
    <t>Lic 30-06-2022(6K MBL 01-01-2022)</t>
  </si>
  <si>
    <t>Lic 31-12-2022 (MBL 12K 02-01-2022)</t>
  </si>
  <si>
    <t>Lic 31-12-2022 (15K MBL 02-01-2022)</t>
  </si>
  <si>
    <t>Akber</t>
  </si>
  <si>
    <t>02-01-2022</t>
  </si>
  <si>
    <t>New Rahat Bakery FBR</t>
  </si>
  <si>
    <t>FBR 70K (5K Discount) 65k Cash by Akber sb 02-01-2022</t>
  </si>
  <si>
    <t>Lic 31-12-2022 (6k MBL 01-01-2022) Lic Update karna ha</t>
  </si>
  <si>
    <t>Lic 31-12-2022 (12K easypaise Nasira Baji 01-01-2022) 11950/- beje the</t>
  </si>
  <si>
    <t>Lic 31-12-2022 (12K MBL 01-01-2022)</t>
  </si>
  <si>
    <t>CMH Bait ul Mal</t>
  </si>
  <si>
    <t>03-01-2022</t>
  </si>
  <si>
    <t>Military Hospital CNE Billing</t>
  </si>
  <si>
    <t>Sabir</t>
  </si>
  <si>
    <t>Lic 30-06-2022 (6K EasyPaisa Waqar 03-01-2022)</t>
  </si>
  <si>
    <t>Lic 31-12-2022 (12K MBL 03-01-2022)</t>
  </si>
  <si>
    <t>Lic 31-12-2022-&gt; 12K,VPS 1350*12=16200 (16200 Nasir Baji 01-01-2022)(12500 cash at my office 03-01-2022)</t>
  </si>
  <si>
    <t>07-12-2021</t>
  </si>
  <si>
    <t>06-12-2022</t>
  </si>
  <si>
    <t>Abbootabad</t>
  </si>
  <si>
    <t>Mega Brand Shoes</t>
  </si>
  <si>
    <t>Mobeen CO</t>
  </si>
  <si>
    <t>Hyderabad</t>
  </si>
  <si>
    <t>CMH Hyderabad</t>
  </si>
  <si>
    <t>Lic 31-12-2022 (12K MBL 04-01-2022)</t>
  </si>
  <si>
    <t>Butgram</t>
  </si>
  <si>
    <t>05-01-2022</t>
  </si>
  <si>
    <t>04-01-2022</t>
  </si>
  <si>
    <t>Transfer online DB to offline and online Zero (5K MBL 05-01-2022)</t>
  </si>
  <si>
    <t>Lic 31-12-2022(10500 MBL 01-010-2022)(1500 MBL 06-01-2022)</t>
  </si>
  <si>
    <t>Lic 31-12-2022(12K MBL 08-01-2022)</t>
  </si>
  <si>
    <t>09-01-2022</t>
  </si>
  <si>
    <t>Lic 30-06-2022 (6K My EasyPaisa 09-01-2022)</t>
  </si>
  <si>
    <t>Lic 30-06-2022 (VPS 1350x6=8100,Lic=6000)(13K MBL 10-01-2022)</t>
  </si>
  <si>
    <t>QandFishan</t>
  </si>
  <si>
    <t>8K MBL Amir 10-01-2022 (Extra work 11-11-2021 invoices for FBR)</t>
  </si>
  <si>
    <t>10-01-2022</t>
  </si>
  <si>
    <t>Lic 31-12-2022 for trunk bazar+Raja Bazar offline only)(24K MBL 10-01-2022)</t>
  </si>
  <si>
    <t>Lic 31-12-2022 (shop 2x12=24K, VPS 1280*12*2=30720 Total 54720)(54720 cash by Tauqeer 10-01-2022)</t>
  </si>
  <si>
    <t>Lic 31-12-2022 (18K MBL Amir 10-01-2022)</t>
  </si>
  <si>
    <t>80K MBL Amir 10-01-2022</t>
  </si>
  <si>
    <t>Shahid &amp; Brothers Shoes (Service Tarlai New)</t>
  </si>
  <si>
    <t>Baba Shoes (FBR Shoes)</t>
  </si>
  <si>
    <t>11-01-2022</t>
  </si>
  <si>
    <t>Lic 31-12-2022 (12K Zahoor shop 01-01-2022)(24k MBL 11-01-2022)(12K MBL 12-01-2022)</t>
  </si>
  <si>
    <t>FBR POS for Baba Shoes(70K cash 11-01-2022)</t>
  </si>
  <si>
    <t>Lic 31-12-2022 (Garments + Shoes + Gents)(36K Cash 11-01-2022)</t>
  </si>
  <si>
    <t>Lic 31-12-2022(12K Cash 12-02-2022)</t>
  </si>
  <si>
    <t>Lic 31-12-2022(25K cash by Khurram 11-01-2022)(23K MBL Amir 14-01-2022)</t>
  </si>
  <si>
    <t>17-01-2022</t>
  </si>
  <si>
    <t>FBR POS=35K,Annual 12K (35K MBL Amir 18-11-2021)(12K EasyPaisa Zee 20-01-22)</t>
  </si>
  <si>
    <t>Lic 31-12-2022 (eashpaisa 12K 15-01-2022)</t>
  </si>
  <si>
    <t>Lic 31-12-2022 9 Shops x 1100 x 12 Month = 18800 (110K 16-01-2022 cash)</t>
  </si>
  <si>
    <t>Lic 30-06-2022 (40K MBL 21-01-22)</t>
  </si>
  <si>
    <t>Kashmir Chapple Store</t>
  </si>
  <si>
    <t>31-01-2022</t>
  </si>
  <si>
    <t>16-01-2022</t>
  </si>
  <si>
    <t>Lic 30-06-2022 (30K MBL 03-02-2022)</t>
  </si>
  <si>
    <t>For the Month of Jan-2022</t>
  </si>
  <si>
    <t>New Service Tarlai SW=30K, 6Month = 6000 (50K MBL 01-02-2022)</t>
  </si>
  <si>
    <t>01-02-2022</t>
  </si>
  <si>
    <t>19-01-2022</t>
  </si>
  <si>
    <t>Lic 31-12-2022 MBL Amir 19-01-2022</t>
  </si>
  <si>
    <t>Lic 31-12-2022 (Fatech Jhang + Nawababad Refreshment by Naeem 24K)12K MBL 31-12-2021 (12K EashPaisa 19-01-2022)</t>
  </si>
  <si>
    <t>Lic 30-06-2022 (6K MBL 03-02-2022)</t>
  </si>
  <si>
    <t>6K MBL 03-02-2022</t>
  </si>
  <si>
    <t>01-02-2022 to 30-05-2022 (40K MBL 08-02-2021)</t>
  </si>
  <si>
    <t>40K SW Lic 01-02-2022 to 30-05-2022 (40K MBL 08-02-2022)</t>
  </si>
  <si>
    <t>(FBR POS=38K,Annual 12k (35K EasyPaisa Waqar 12-11-2021)(5K EasyPaisa Zee 20-01-22)(10K 23-01-2022 EasyPaisa)</t>
  </si>
  <si>
    <t>Ch Foods Accounts</t>
  </si>
  <si>
    <t>Lic 31-12-2022 Giga Only (12K Cash 08-02-2022)</t>
  </si>
  <si>
    <t>Lic 31-12-2022 (12K MBL 09-02-2022)</t>
  </si>
  <si>
    <t>Lic 31-12-2022 (12K SW Lic, VPS=16200/-)(25K cash by Khurram 26/27-01-2022 at office)(3200 Cash 09-02-2022)</t>
  </si>
  <si>
    <t>14-02-2023</t>
  </si>
  <si>
    <t>Ikram</t>
  </si>
  <si>
    <t>VPS Setup=15K,Annual=1350x12=16200 (31200 MBL Amir 15-02-2023)</t>
  </si>
  <si>
    <t>SM Shoes</t>
  </si>
  <si>
    <t>Faisal Mall</t>
  </si>
  <si>
    <t>2 Visit Wah (5K MBL Aamir 15-02-2022)</t>
  </si>
  <si>
    <t>16-02-2022</t>
  </si>
  <si>
    <t>Extra Work 75200 (75200 MBL Zee 16-02-2022)</t>
  </si>
  <si>
    <t>FBR Report Work</t>
  </si>
  <si>
    <t>FBR Report Work 65K Husnain sb Disc 15K (50K Cash 16-02-2022 Factory by me)</t>
  </si>
  <si>
    <t>Siddiqe Centre</t>
  </si>
  <si>
    <t>21-02-2022</t>
  </si>
  <si>
    <t>CMH Surgical</t>
  </si>
  <si>
    <t>Khattack</t>
  </si>
  <si>
    <t>SW=170+Addl=10500,HW=350….MBL Chq Amount=233975 (14-12-2022) 140385 (22-02-2022)</t>
  </si>
  <si>
    <t>English shoes</t>
  </si>
  <si>
    <t>Mohsin</t>
  </si>
  <si>
    <t>19-02-2022</t>
  </si>
  <si>
    <t>24-02-2022</t>
  </si>
  <si>
    <t>10K MBL 24-02-2022 (Disc.3500/-)</t>
  </si>
  <si>
    <t xml:space="preserve">New Rahat </t>
  </si>
  <si>
    <t>Said Akbar</t>
  </si>
  <si>
    <t>Asif</t>
  </si>
  <si>
    <t>Ghori Town</t>
  </si>
  <si>
    <t>Lic=12K Till 28-02-2023 (13500 Cash Paid at Shop 28-02-2022  1500 for TA)</t>
  </si>
  <si>
    <t>For the Month of Feb-2022</t>
  </si>
  <si>
    <t>CMH CNE Billing</t>
  </si>
  <si>
    <t>02-03-2022</t>
  </si>
  <si>
    <t>Lic=24K Till=31-07-2022 CNE Billing (24K Cash 02-03-2022)</t>
  </si>
  <si>
    <t>Lic=6K Till 31-08-2022 (6K MBL Amir 02-03-2022)</t>
  </si>
  <si>
    <t>VPS 6 Month Fee</t>
  </si>
  <si>
    <t xml:space="preserve">Balance </t>
  </si>
  <si>
    <t>15-03-2022 Due Date</t>
  </si>
  <si>
    <t>Lic 30-06-2023 SW=6K,VPS=8100 (135*6)(17435 MBL 01-01-2022)</t>
  </si>
  <si>
    <t>08-03-2022</t>
  </si>
  <si>
    <t>80K MBL 08-03-2022 Amir</t>
  </si>
  <si>
    <t>Lic Till 15-03-2022 1200x6x10=72K (72K MBL Aamir 21-09-2021)</t>
  </si>
  <si>
    <t>Al Hamd (Addl Work)</t>
  </si>
  <si>
    <t>Zahoor</t>
  </si>
  <si>
    <t>10-03-2022</t>
  </si>
  <si>
    <t>Addl Work=20K-5K(Disc) (15K Cash by Zahoor sb at my office 10-03-2022)</t>
  </si>
  <si>
    <t>SW=110K-30K Disc As prev. SW x 3 Db =2,40,000/-,Annual 1500x3DB x 12Month = 54,000/- (Monthly Remaining 500/- x (150K Cash 02-03-2022 Modila Shop)(4Month x 500 x 3DB = 6000/-)(96K Cash Naeem Modila 11-03-2022)</t>
  </si>
  <si>
    <t>lic=12K Till 15-02-2022(6K EasyPaisa 02-03-2022)(6K EasyPaisa 14-03-2022)</t>
  </si>
  <si>
    <t>14-03-2022</t>
  </si>
  <si>
    <t>Lic 6Month=15-09-2022,Asya Gate=2,Accounts=1,Dalazak=2 (30K Cash by Irtza 14-03-2022)</t>
  </si>
  <si>
    <t>Shafique</t>
  </si>
  <si>
    <t>Lic 6Month=31-08-2022 (45K MBL 15-03-2022)</t>
  </si>
  <si>
    <t>FBR POS 18-12-2021(37360 Cash 16-03-2022)</t>
  </si>
  <si>
    <t>23-03-2022</t>
  </si>
  <si>
    <t>VPS Lic 6Monthx10Branch Till 15-09-2022 (75600 MBL Amir 23-03-2022)</t>
  </si>
  <si>
    <t>VPS 6 Month</t>
  </si>
  <si>
    <t>15-03-2022 to 15-09-2022 (75600 MBL Amir 23-03-2022</t>
  </si>
  <si>
    <t>15-09-2022</t>
  </si>
  <si>
    <t>SW=110Kx3 shops,Annual 18x3,Server Confgiure 15K Lic=31-12-2022 (195K Cash 19-02-2022)(195K Cash 24-03-2022)</t>
  </si>
  <si>
    <t>Stemar VPS</t>
  </si>
  <si>
    <t>25-03-2022</t>
  </si>
  <si>
    <t>15-03-2023</t>
  </si>
  <si>
    <t>VPs Lic 12Month 1400x12=16800 (16800 MBL Amir 25-03-2022)</t>
  </si>
  <si>
    <t>T and B Madina Crockery</t>
  </si>
  <si>
    <t>Sohail/Talha</t>
  </si>
  <si>
    <t>SW=35K,Lic=12K,Disc=2K(20k Cash 25-03-2022, 25K cash 26-03-2022)</t>
  </si>
  <si>
    <t>One Step New Shop</t>
  </si>
  <si>
    <t>Islam</t>
  </si>
  <si>
    <t>29-03-2022</t>
  </si>
  <si>
    <t>30-03-2022</t>
  </si>
  <si>
    <t>Milli Shoe Atif</t>
  </si>
  <si>
    <t>Lic=12K,VPS 1350*12=16200 Till 31-03-2023(28200 MBL Amir)</t>
  </si>
  <si>
    <t>(50K Cash 30-03-2022)</t>
  </si>
  <si>
    <t>Lic 6Month (01-04-2022 to 30-09-2022)(30K Cash 30-03-2022 , Prev. Lic Paid 15K Today)</t>
  </si>
  <si>
    <t>31-03-2023</t>
  </si>
  <si>
    <t>For the Month of Mar-2022</t>
  </si>
  <si>
    <t>02-04-2022</t>
  </si>
  <si>
    <t>Mehfil e Shireen</t>
  </si>
  <si>
    <t>Salman Sweets Dalazak Refreshment</t>
  </si>
  <si>
    <t>Lic Till=31-03-2022 (12K EasyPaisa 04-04-2022)</t>
  </si>
  <si>
    <t>05-04-2022</t>
  </si>
  <si>
    <t>YUM Monthly</t>
  </si>
  <si>
    <t>04-04-2022</t>
  </si>
  <si>
    <t>New Deal Monthly 47120/- (100K for FBR for 4 Shops Pending) (60K Cash 04-04-2022)</t>
  </si>
  <si>
    <t>Al-Faisal Mall offline Set</t>
  </si>
  <si>
    <t>Sh Javed</t>
  </si>
  <si>
    <t>Al-Faisal Wah Set Off-line + FBR Set with Offline (10K Cash 04-04-2022)</t>
  </si>
  <si>
    <t>01-03-2022</t>
  </si>
  <si>
    <t>SM Shoes by Khuram</t>
  </si>
  <si>
    <t>SW Lic=6K,VPS=1350x6=8100,Disc=100 Till 30-09-2022 (14K Cash by Tauqeer 04-04-2022)</t>
  </si>
  <si>
    <t>Lic Till=31-03-2022 (12K EasyPaisa 05-04-2022)</t>
  </si>
  <si>
    <t>Grace Ware Additional Work</t>
  </si>
  <si>
    <t>Ahsan</t>
  </si>
  <si>
    <t>07-03-2022</t>
  </si>
  <si>
    <t>Additional work=50K - 18K(my home Goods) 32K MBL 07-03-2022</t>
  </si>
  <si>
    <t>Refreshment SW=35k,Annual=12K,VPS Setup=15K,VPs Annual = 1350x12=16200, Till 31-03-2023 (78K MBL Amir 05-04-2022)</t>
  </si>
  <si>
    <t>Salman Dalazak (Refreshment)</t>
  </si>
  <si>
    <t>Lic Till=31-03-2022 (7200 MBL Amir 06-04-2022)</t>
  </si>
  <si>
    <t>01-04-2022</t>
  </si>
  <si>
    <t>HTS Gujranwala FBR POS</t>
  </si>
  <si>
    <t>SW=30K,Lic=12K -&gt; 01-04-2022 to 31-12-2022 9Month 9K (30K MBL Amir 29-03-2022)(9k MBL Amir 06-04-2022)</t>
  </si>
  <si>
    <t>06-04-2022</t>
  </si>
  <si>
    <t>Metro Shoes Asif Ghauri Town</t>
  </si>
  <si>
    <t>FBR POS for Gujranwala (70K Cash by Cqh 08-04-2022)</t>
  </si>
  <si>
    <t>Metro Collection</t>
  </si>
  <si>
    <t>09-04-2022</t>
  </si>
  <si>
    <t>Lic 1500x6 = 9000+900(10% increase @1650/-) 01-04-2022 to 30-09-2022 (9900 MBL 09-04-2022)</t>
  </si>
  <si>
    <t>SW=50K,Lic 40K for 6 Month (OCT-21 to 30-04-2022)(50K Amir 05-01-2022)</t>
  </si>
  <si>
    <t>Lic 31-12-2022(6K Feb-2022)(6K Mar-2022)</t>
  </si>
  <si>
    <t>11-04-2022</t>
  </si>
  <si>
    <t>Server Configure=15K, TA/DA=5K (20K Cash 09-04-2022)</t>
  </si>
  <si>
    <t>VPS One Time=15K,Annual 1400x12=16800 Till 15-04-2023 (31800 MBL 11-04-2022)</t>
  </si>
  <si>
    <t>15-04-2022</t>
  </si>
  <si>
    <t>15-04-2023</t>
  </si>
  <si>
    <t>Faisal Plastic Addl Work</t>
  </si>
  <si>
    <t>Asim</t>
  </si>
  <si>
    <t>12-04-2022</t>
  </si>
  <si>
    <t>13-04-2022</t>
  </si>
  <si>
    <t>Lic=31-12-2022(5K EasyPaisa  13-04-2022)</t>
  </si>
  <si>
    <t>SW=30K,6 Month Lice=6K Till 30-09-2022 (36K MBL Amir 14-04-2022)</t>
  </si>
  <si>
    <t>Saif Bakers 1000x2x6 = 12K till 31-08-2022)(12K MBL Aamir 15-04-2022)</t>
  </si>
  <si>
    <t>Addl work by Asim JV-&gt;Balance, Backup, Office/Client Copy, 8000-2000=6000 (5K MBL Amir 14-04-2022)</t>
  </si>
  <si>
    <t>SW=95+25(Accounts Free),Annual=18K,Disc=3000+25K (50K Cash 21-02-2022 10K kam nikley)(15K Cash by Tauqeer 3/4 Mar)(45K MBL Amir 15-04-2022)(Lic Till 31-03-2023)</t>
  </si>
  <si>
    <t>18-04-2022</t>
  </si>
  <si>
    <t>Taimoor</t>
  </si>
  <si>
    <t>Behram</t>
  </si>
  <si>
    <t>20-04-2022</t>
  </si>
  <si>
    <t>Dr. Anees</t>
  </si>
  <si>
    <t>Server Configure(Inventory file corrupted)=3K (3K EasyPaisa 21-04-2022)</t>
  </si>
  <si>
    <t>Network re-adjusted from old Building to New building (82K MBL 20-04-2022_</t>
  </si>
  <si>
    <t>HTS Adyala FBR POS</t>
  </si>
  <si>
    <t>Khawaja</t>
  </si>
  <si>
    <t>22-04-2022</t>
  </si>
  <si>
    <t>FBR POS for Adyala(70K cash by Rehan 25-04-2022)</t>
  </si>
  <si>
    <t>Lic=31-03-2023 26400/- (26400/- MBL 25-04-2022)</t>
  </si>
  <si>
    <t>SW+VPS+Annual 200K (12K MBL Amir 15-03-2022)(20K MBL Amir 27-04-2022)</t>
  </si>
  <si>
    <t>Mir Bakers 1000x2x6 = 12K + New Shop Name Change 5k(15K Cash by Naeem 13-04-2022) till 31-08-2022)(15K for New PC with New Name)(7K MBL Amir 27-04-2022)</t>
  </si>
  <si>
    <t>Annual=12Kx3,VPS=16200x3Branch Till 40-04-2023(80K 29-04-2022)</t>
  </si>
  <si>
    <t>MAGTrading.eu</t>
  </si>
  <si>
    <t>29-04-2022</t>
  </si>
  <si>
    <t>Website (35K MBL 29-04-2022)</t>
  </si>
  <si>
    <t>VPS 15K+14400 Cash 28-04-2021,SW=45000-15000=30K,Annual=12K (30K Cash 30-05-2021 my office)(10K cash by Umer 19-07-2021)</t>
  </si>
  <si>
    <t>01-05-2022</t>
  </si>
  <si>
    <t>30-04-2023</t>
  </si>
  <si>
    <t>6Month Lic=40K Till 30-10-2022 (40K MBL Amir 07-05-2022)</t>
  </si>
  <si>
    <t>Annual=12K,VPS=1480x12=17760 (29500 MBL 06-05-2022)</t>
  </si>
  <si>
    <t>YUMS Monthly</t>
  </si>
  <si>
    <t>07-05-2022</t>
  </si>
  <si>
    <t>Monthly May-2022 (48K MBL Amir)</t>
  </si>
  <si>
    <t>VPS One Time=15K,Annual 150x12=16200 Till 31-03-2023 (15K MBL 06-04-2022)(13K EasyPaisa 28-04-2022)(3200 EasyPaisa May-2022)</t>
  </si>
  <si>
    <t>31-12-2023</t>
  </si>
  <si>
    <t>CR MH Rwp</t>
  </si>
  <si>
    <t>Rawalpiindi</t>
  </si>
  <si>
    <t>09-05-2022</t>
  </si>
  <si>
    <t>Lic=30-09-2022 6Month (40K MBL 10-05-2022)</t>
  </si>
  <si>
    <t>Noor e Madina</t>
  </si>
  <si>
    <t>Kallar Syedan</t>
  </si>
  <si>
    <t>SW=35K,Annual Till Dec-2022 8 Month 8K (43K MBL 09-05-2022)</t>
  </si>
  <si>
    <t>VPS=14400,Annual=12 Till 30-04-2022 (27K Cash 11-05-2022 800 Discount)</t>
  </si>
  <si>
    <t>CNE MH Network Gynea Repair</t>
  </si>
  <si>
    <t>Brdg Romeena</t>
  </si>
  <si>
    <t>12-05-2022</t>
  </si>
  <si>
    <t>Re-Adjust network at Gynea after renovation 13K,3K will be adjusted in next bill (10K Cash by Khattock 12-05-2022)</t>
  </si>
  <si>
    <t>13-05-2022</t>
  </si>
  <si>
    <t>Lic=31-07-2022 (Gents+Bata+Head Office)(1800 x 3 Branch x 3 Month=16200)(15500 Cash by Sajid sb to My office 13-05-2022)</t>
  </si>
  <si>
    <t>Saif Bakers (Re-install SW)</t>
  </si>
  <si>
    <t>17-05-2022</t>
  </si>
  <si>
    <t>16-05-2022 re-install pc due to new windows (4K MBL 16-05-2022)</t>
  </si>
  <si>
    <t xml:space="preserve">YUMS FBR old </t>
  </si>
  <si>
    <t>15-05-2022</t>
  </si>
  <si>
    <t>Total 100K confirm after detail discussion before Ramzan and after Ramzan 50K MBL Amir 15-05-2022</t>
  </si>
  <si>
    <t>SW=50K Accounts for Sohaib sb,Annual=15K (35K Cash 08-02-2022),(5K Barcode Discount)(15K Parchi System + Expense Report + Day Report)(20K MBL Aamir 23-02-2022)(15K EasyPaisa 18-05-22)</t>
  </si>
  <si>
    <t>01-06-2022</t>
  </si>
  <si>
    <t>30-05-2023</t>
  </si>
  <si>
    <t>01-06-2022 to 309-09-2022</t>
  </si>
  <si>
    <t>S.S Ghulam Hussain</t>
  </si>
  <si>
    <t>Noman</t>
  </si>
  <si>
    <t>24-05-2022</t>
  </si>
  <si>
    <t>Server re-configure (3K MBL 24-05-2022)</t>
  </si>
  <si>
    <t>English Shoes Attend+Food+SMS</t>
  </si>
  <si>
    <t>See Invoice 19-05-2022 (92500 Cash 24-05-2022 by Khurram sb at my office)</t>
  </si>
  <si>
    <t>Khurshid &amp; Sons + HBS</t>
  </si>
  <si>
    <t>VPS 2 DB = 1550*12*2=37200 (37200 Cash 24-05-2022)</t>
  </si>
  <si>
    <t>Usman traders</t>
  </si>
  <si>
    <t>Akram</t>
  </si>
  <si>
    <t>25-05-2022</t>
  </si>
  <si>
    <t>Re-configure due to New windows 2 time 5000+2000 (7K MBL 25-07-2022)</t>
  </si>
  <si>
    <t>Modila Shoes FBR</t>
  </si>
  <si>
    <t>28-05-2022</t>
  </si>
  <si>
    <t>POS FBR Register+install+configure with ERP+Training 70K x 2Shop (70K Cash 28-05-2022)</t>
  </si>
  <si>
    <t>YUM FBR Remining</t>
  </si>
  <si>
    <t>50K Cash Rcvd remining FBR POS 28-05-2022</t>
  </si>
  <si>
    <t>30-05-2022</t>
  </si>
  <si>
    <t>31-05-2022</t>
  </si>
  <si>
    <t>Shahid &amp;  Brothers</t>
  </si>
  <si>
    <t>SW=35K,Annual Till 30-06-2022 1 Month 1K (30K Cash 31-05-2022)</t>
  </si>
  <si>
    <t>Annual Lic 18K Till 30-05-2023 (15K 01-06-2022 MBL 3K Discount)</t>
  </si>
  <si>
    <t>For the Month of Apr-2022</t>
  </si>
  <si>
    <t>For the Month of May-2022</t>
  </si>
  <si>
    <t>YUMS Visit Fateh Jhang + Factory</t>
  </si>
  <si>
    <t>Visit TA/DA 7000/- Cash 01-06-2022</t>
  </si>
  <si>
    <t>Munwar</t>
  </si>
  <si>
    <t>6 Lic Till 30-11-2022</t>
  </si>
  <si>
    <t>Annual Lic 15K Till 30-05-2023 (15K EasyPaisa 02-06-2022)</t>
  </si>
  <si>
    <t>01-07-2022</t>
  </si>
  <si>
    <t>30-06-2023</t>
  </si>
  <si>
    <t>01-08-2022</t>
  </si>
  <si>
    <t>31-07-2023</t>
  </si>
  <si>
    <t>31-12-222</t>
  </si>
  <si>
    <t>H. A ELECTRIC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</si>
</sst>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9" tint="0.59999389629810485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7"/>
      <color theme="1"/>
      <name val="Lucida Handwriting"/>
      <family val="4"/>
    </font>
    <font>
      <sz val="11"/>
      <color theme="3" tint="0.79998168889431442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31849B"/>
      <name val="Calibri"/>
      <family val="2"/>
      <scheme val="minor"/>
    </font>
    <font>
      <b/>
      <sz val="7"/>
      <color rgb="FF31849B"/>
      <name val="Times New Roman"/>
      <family val="1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sz val="11"/>
      <color rgb="FF9C6500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1"/>
      <color rgb="FF0061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2" fillId="25" borderId="0" applyNumberFormat="0" applyBorder="0" applyAlignment="0" applyProtection="0"/>
    <xf numFmtId="0" fontId="23" fillId="27" borderId="0" applyNumberFormat="0" applyBorder="0" applyAlignment="0" applyProtection="0"/>
  </cellStyleXfs>
  <cellXfs count="13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1" fillId="0" borderId="0" xfId="0" applyFont="1"/>
    <xf numFmtId="0" fontId="0" fillId="0" borderId="0" xfId="0" applyFill="1"/>
    <xf numFmtId="14" fontId="0" fillId="0" borderId="0" xfId="0" quotePrefix="1" applyNumberFormat="1"/>
    <xf numFmtId="0" fontId="0" fillId="0" borderId="0" xfId="0" quotePrefix="1"/>
    <xf numFmtId="43" fontId="0" fillId="0" borderId="0" xfId="1" applyFont="1"/>
    <xf numFmtId="164" fontId="0" fillId="0" borderId="0" xfId="1" applyNumberFormat="1" applyFont="1"/>
    <xf numFmtId="0" fontId="3" fillId="3" borderId="0" xfId="0" applyFont="1" applyFill="1"/>
    <xf numFmtId="0" fontId="0" fillId="4" borderId="0" xfId="0" applyFill="1"/>
    <xf numFmtId="0" fontId="0" fillId="0" borderId="0" xfId="0" quotePrefix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5" fontId="0" fillId="0" borderId="0" xfId="1" applyNumberFormat="1" applyFont="1"/>
    <xf numFmtId="0" fontId="0" fillId="9" borderId="0" xfId="0" applyFill="1"/>
    <xf numFmtId="164" fontId="0" fillId="9" borderId="0" xfId="1" applyNumberFormat="1" applyFont="1" applyFill="1"/>
    <xf numFmtId="0" fontId="5" fillId="10" borderId="0" xfId="0" applyFont="1" applyFill="1"/>
    <xf numFmtId="0" fontId="6" fillId="11" borderId="0" xfId="0" applyFont="1" applyFill="1"/>
    <xf numFmtId="0" fontId="0" fillId="7" borderId="0" xfId="0" applyFill="1" applyBorder="1"/>
    <xf numFmtId="164" fontId="5" fillId="10" borderId="0" xfId="1" applyNumberFormat="1" applyFont="1" applyFill="1"/>
    <xf numFmtId="0" fontId="1" fillId="8" borderId="0" xfId="0" applyFont="1" applyFill="1"/>
    <xf numFmtId="0" fontId="0" fillId="12" borderId="0" xfId="0" applyFill="1"/>
    <xf numFmtId="164" fontId="0" fillId="12" borderId="0" xfId="0" applyNumberFormat="1" applyFill="1"/>
    <xf numFmtId="0" fontId="0" fillId="13" borderId="0" xfId="0" applyFill="1"/>
    <xf numFmtId="164" fontId="0" fillId="0" borderId="0" xfId="0" applyNumberFormat="1"/>
    <xf numFmtId="0" fontId="7" fillId="14" borderId="0" xfId="0" applyFont="1" applyFill="1" applyAlignment="1">
      <alignment horizontal="right"/>
    </xf>
    <xf numFmtId="164" fontId="7" fillId="14" borderId="0" xfId="0" applyNumberFormat="1" applyFont="1" applyFill="1"/>
    <xf numFmtId="164" fontId="8" fillId="4" borderId="0" xfId="1" applyNumberFormat="1" applyFont="1" applyFill="1"/>
    <xf numFmtId="164" fontId="0" fillId="2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8" borderId="0" xfId="1" applyNumberFormat="1" applyFont="1" applyFill="1"/>
    <xf numFmtId="164" fontId="0" fillId="7" borderId="0" xfId="1" applyNumberFormat="1" applyFont="1" applyFill="1"/>
    <xf numFmtId="164" fontId="4" fillId="2" borderId="0" xfId="1" applyNumberFormat="1" applyFont="1" applyFill="1"/>
    <xf numFmtId="164" fontId="4" fillId="7" borderId="0" xfId="1" applyNumberFormat="1" applyFont="1" applyFill="1"/>
    <xf numFmtId="0" fontId="4" fillId="0" borderId="0" xfId="0" applyFont="1" applyFill="1"/>
    <xf numFmtId="14" fontId="4" fillId="0" borderId="0" xfId="0" applyNumberFormat="1" applyFont="1" applyFill="1"/>
    <xf numFmtId="0" fontId="4" fillId="0" borderId="0" xfId="0" quotePrefix="1" applyFont="1" applyFill="1"/>
    <xf numFmtId="0" fontId="9" fillId="0" borderId="0" xfId="0" applyFont="1" applyFill="1"/>
    <xf numFmtId="164" fontId="4" fillId="0" borderId="0" xfId="1" applyNumberFormat="1" applyFont="1" applyFill="1"/>
    <xf numFmtId="3" fontId="0" fillId="0" borderId="0" xfId="0" applyNumberFormat="1"/>
    <xf numFmtId="0" fontId="0" fillId="15" borderId="0" xfId="0" applyFill="1"/>
    <xf numFmtId="0" fontId="0" fillId="2" borderId="0" xfId="0" applyFill="1" applyBorder="1"/>
    <xf numFmtId="0" fontId="0" fillId="0" borderId="0" xfId="0" quotePrefix="1" applyFill="1" applyBorder="1"/>
    <xf numFmtId="0" fontId="11" fillId="0" borderId="0" xfId="0" applyFont="1"/>
    <xf numFmtId="164" fontId="5" fillId="10" borderId="0" xfId="0" applyNumberFormat="1" applyFont="1" applyFill="1"/>
    <xf numFmtId="0" fontId="4" fillId="0" borderId="0" xfId="0" applyFont="1" applyFill="1" applyAlignment="1">
      <alignment wrapText="1"/>
    </xf>
    <xf numFmtId="164" fontId="4" fillId="0" borderId="0" xfId="1" applyNumberFormat="1" applyFont="1" applyFill="1" applyAlignment="1">
      <alignment horizontal="right" vertical="top"/>
    </xf>
    <xf numFmtId="0" fontId="4" fillId="0" borderId="0" xfId="0" quotePrefix="1" applyFont="1" applyFill="1" applyAlignment="1">
      <alignment vertical="top"/>
    </xf>
    <xf numFmtId="0" fontId="9" fillId="0" borderId="0" xfId="0" applyFont="1" applyFill="1" applyAlignment="1">
      <alignment horizontal="right"/>
    </xf>
    <xf numFmtId="164" fontId="9" fillId="0" borderId="0" xfId="1" applyNumberFormat="1" applyFont="1" applyFill="1"/>
    <xf numFmtId="0" fontId="4" fillId="0" borderId="0" xfId="0" applyFont="1" applyFill="1" applyAlignment="1">
      <alignment horizontal="left" vertical="top"/>
    </xf>
    <xf numFmtId="0" fontId="4" fillId="0" borderId="0" xfId="0" quotePrefix="1" applyFont="1" applyFill="1" applyAlignment="1">
      <alignment horizontal="left" vertical="top"/>
    </xf>
    <xf numFmtId="164" fontId="1" fillId="0" borderId="0" xfId="0" applyNumberFormat="1" applyFont="1"/>
    <xf numFmtId="17" fontId="0" fillId="0" borderId="0" xfId="0" quotePrefix="1" applyNumberFormat="1"/>
    <xf numFmtId="0" fontId="9" fillId="12" borderId="0" xfId="0" applyFont="1" applyFill="1"/>
    <xf numFmtId="0" fontId="4" fillId="1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64" fontId="1" fillId="0" borderId="0" xfId="1" applyNumberFormat="1" applyFont="1"/>
    <xf numFmtId="0" fontId="0" fillId="0" borderId="0" xfId="0" quotePrefix="1" applyAlignment="1">
      <alignment wrapText="1"/>
    </xf>
    <xf numFmtId="17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0" fillId="16" borderId="0" xfId="0" applyFill="1"/>
    <xf numFmtId="164" fontId="1" fillId="16" borderId="0" xfId="1" applyNumberFormat="1" applyFont="1" applyFill="1"/>
    <xf numFmtId="0" fontId="1" fillId="16" borderId="0" xfId="0" applyFont="1" applyFill="1" applyAlignment="1">
      <alignment horizontal="right"/>
    </xf>
    <xf numFmtId="164" fontId="12" fillId="17" borderId="0" xfId="1" applyNumberFormat="1" applyFont="1" applyFill="1"/>
    <xf numFmtId="0" fontId="0" fillId="0" borderId="0" xfId="0" applyFill="1" applyBorder="1"/>
    <xf numFmtId="164" fontId="0" fillId="0" borderId="0" xfId="1" applyNumberFormat="1" applyFont="1" applyFill="1"/>
    <xf numFmtId="0" fontId="13" fillId="3" borderId="0" xfId="0" applyFont="1" applyFill="1"/>
    <xf numFmtId="0" fontId="14" fillId="18" borderId="0" xfId="0" applyFont="1" applyFill="1"/>
    <xf numFmtId="0" fontId="14" fillId="4" borderId="0" xfId="0" applyFont="1" applyFill="1"/>
    <xf numFmtId="0" fontId="14" fillId="4" borderId="0" xfId="0" quotePrefix="1" applyFont="1" applyFill="1"/>
    <xf numFmtId="0" fontId="0" fillId="0" borderId="0" xfId="0" applyFont="1" applyFill="1"/>
    <xf numFmtId="164" fontId="16" fillId="19" borderId="0" xfId="0" applyNumberFormat="1" applyFont="1" applyFill="1"/>
    <xf numFmtId="0" fontId="0" fillId="10" borderId="0" xfId="0" applyFill="1"/>
    <xf numFmtId="0" fontId="5" fillId="0" borderId="0" xfId="0" applyFont="1"/>
    <xf numFmtId="17" fontId="0" fillId="0" borderId="0" xfId="0" quotePrefix="1" applyNumberFormat="1" applyAlignment="1">
      <alignment horizontal="left"/>
    </xf>
    <xf numFmtId="17" fontId="10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right"/>
    </xf>
    <xf numFmtId="164" fontId="5" fillId="0" borderId="0" xfId="0" applyNumberFormat="1" applyFont="1" applyFill="1"/>
    <xf numFmtId="164" fontId="3" fillId="20" borderId="0" xfId="1" applyNumberFormat="1" applyFont="1" applyFill="1"/>
    <xf numFmtId="164" fontId="0" fillId="9" borderId="0" xfId="0" applyNumberFormat="1" applyFill="1"/>
    <xf numFmtId="0" fontId="0" fillId="21" borderId="0" xfId="0" applyFill="1"/>
    <xf numFmtId="0" fontId="0" fillId="0" borderId="0" xfId="0" applyAlignment="1">
      <alignment horizontal="left"/>
    </xf>
    <xf numFmtId="164" fontId="1" fillId="15" borderId="0" xfId="0" applyNumberFormat="1" applyFont="1" applyFill="1"/>
    <xf numFmtId="0" fontId="17" fillId="0" borderId="0" xfId="0" applyFont="1"/>
    <xf numFmtId="0" fontId="0" fillId="0" borderId="1" xfId="0" applyBorder="1" applyAlignment="1">
      <alignment vertical="top" wrapText="1"/>
    </xf>
    <xf numFmtId="0" fontId="18" fillId="0" borderId="2" xfId="0" applyFont="1" applyBorder="1" applyAlignment="1">
      <alignment horizontal="left" vertical="top" wrapText="1" indent="5"/>
    </xf>
    <xf numFmtId="0" fontId="20" fillId="0" borderId="2" xfId="0" applyFont="1" applyBorder="1" applyAlignment="1">
      <alignment horizontal="left" vertical="top" wrapText="1" indent="8"/>
    </xf>
    <xf numFmtId="0" fontId="21" fillId="0" borderId="2" xfId="0" applyFont="1" applyBorder="1" applyAlignment="1">
      <alignment horizontal="left" vertical="top" wrapText="1" indent="13"/>
    </xf>
    <xf numFmtId="0" fontId="18" fillId="0" borderId="2" xfId="0" applyFont="1" applyBorder="1" applyAlignment="1">
      <alignment horizontal="left" vertical="top" wrapText="1" indent="3"/>
    </xf>
    <xf numFmtId="0" fontId="20" fillId="0" borderId="3" xfId="0" applyFont="1" applyBorder="1" applyAlignment="1">
      <alignment horizontal="left" vertical="top" wrapText="1" indent="15"/>
    </xf>
    <xf numFmtId="3" fontId="0" fillId="15" borderId="0" xfId="0" applyNumberFormat="1" applyFill="1"/>
    <xf numFmtId="0" fontId="1" fillId="9" borderId="0" xfId="0" applyFont="1" applyFill="1"/>
    <xf numFmtId="0" fontId="20" fillId="0" borderId="0" xfId="0" applyFont="1" applyBorder="1" applyAlignment="1">
      <alignment horizontal="left" vertical="top" wrapText="1" indent="15"/>
    </xf>
    <xf numFmtId="0" fontId="20" fillId="0" borderId="0" xfId="0" applyFont="1" applyBorder="1" applyAlignment="1">
      <alignment horizontal="left" vertical="top" wrapText="1"/>
    </xf>
    <xf numFmtId="0" fontId="17" fillId="0" borderId="0" xfId="0" applyFont="1" applyBorder="1" applyAlignment="1">
      <alignment vertical="top" wrapText="1"/>
    </xf>
    <xf numFmtId="0" fontId="0" fillId="22" borderId="0" xfId="0" applyFill="1"/>
    <xf numFmtId="164" fontId="0" fillId="22" borderId="0" xfId="1" applyNumberFormat="1" applyFont="1" applyFill="1"/>
    <xf numFmtId="0" fontId="0" fillId="23" borderId="0" xfId="0" applyFill="1"/>
    <xf numFmtId="164" fontId="0" fillId="23" borderId="0" xfId="0" applyNumberFormat="1" applyFill="1"/>
    <xf numFmtId="0" fontId="0" fillId="24" borderId="0" xfId="0" applyFill="1"/>
    <xf numFmtId="164" fontId="0" fillId="24" borderId="0" xfId="1" applyNumberFormat="1" applyFont="1" applyFill="1"/>
    <xf numFmtId="0" fontId="0" fillId="24" borderId="0" xfId="0" quotePrefix="1" applyFill="1"/>
    <xf numFmtId="164" fontId="0" fillId="12" borderId="0" xfId="1" applyNumberFormat="1" applyFont="1" applyFill="1"/>
    <xf numFmtId="0" fontId="22" fillId="25" borderId="0" xfId="2"/>
    <xf numFmtId="0" fontId="22" fillId="0" borderId="0" xfId="2" applyFill="1"/>
    <xf numFmtId="0" fontId="24" fillId="27" borderId="0" xfId="3" applyFont="1"/>
    <xf numFmtId="0" fontId="22" fillId="25" borderId="0" xfId="2" quotePrefix="1"/>
    <xf numFmtId="17" fontId="10" fillId="10" borderId="0" xfId="0" applyNumberFormat="1" applyFont="1" applyFill="1" applyAlignment="1">
      <alignment horizontal="right"/>
    </xf>
    <xf numFmtId="0" fontId="10" fillId="10" borderId="0" xfId="0" applyFont="1" applyFill="1" applyAlignment="1">
      <alignment horizontal="right"/>
    </xf>
    <xf numFmtId="0" fontId="0" fillId="0" borderId="0" xfId="0" applyAlignment="1"/>
    <xf numFmtId="0" fontId="0" fillId="0" borderId="0" xfId="0" applyAlignment="1">
      <alignment horizontal="right"/>
    </xf>
    <xf numFmtId="17" fontId="15" fillId="19" borderId="0" xfId="0" applyNumberFormat="1" applyFont="1" applyFill="1" applyAlignment="1">
      <alignment horizontal="right"/>
    </xf>
    <xf numFmtId="0" fontId="15" fillId="19" borderId="0" xfId="0" applyFont="1" applyFill="1" applyAlignment="1">
      <alignment horizontal="right"/>
    </xf>
    <xf numFmtId="0" fontId="3" fillId="1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15" borderId="0" xfId="0" applyFill="1" applyAlignment="1">
      <alignment horizontal="center"/>
    </xf>
    <xf numFmtId="0" fontId="3" fillId="20" borderId="0" xfId="0" applyFont="1" applyFill="1" applyAlignment="1">
      <alignment horizontal="right"/>
    </xf>
    <xf numFmtId="0" fontId="3" fillId="26" borderId="0" xfId="0" applyFont="1" applyFill="1" applyAlignment="1">
      <alignment horizontal="center"/>
    </xf>
  </cellXfs>
  <cellStyles count="4">
    <cellStyle name="Comma" xfId="1" builtinId="3"/>
    <cellStyle name="Good" xfId="3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2"/>
  <sheetViews>
    <sheetView workbookViewId="0">
      <selection activeCell="B26" sqref="B26"/>
    </sheetView>
  </sheetViews>
  <sheetFormatPr defaultRowHeight="14.4" x14ac:dyDescent="0.3"/>
  <cols>
    <col min="1" max="1" width="16" customWidth="1"/>
    <col min="2" max="2" width="9" bestFit="1" customWidth="1"/>
    <col min="3" max="3" width="11.109375" bestFit="1" customWidth="1"/>
    <col min="4" max="4" width="8.44140625" bestFit="1" customWidth="1"/>
    <col min="5" max="5" width="73.5546875" bestFit="1" customWidth="1"/>
    <col min="9" max="9" width="18.88671875" bestFit="1" customWidth="1"/>
  </cols>
  <sheetData>
    <row r="1" spans="1:10" x14ac:dyDescent="0.3">
      <c r="A1" s="1" t="s">
        <v>790</v>
      </c>
      <c r="B1" s="1"/>
      <c r="C1" s="1"/>
    </row>
    <row r="2" spans="1:10" x14ac:dyDescent="0.3">
      <c r="A2" s="1" t="s">
        <v>791</v>
      </c>
      <c r="B2" s="3" t="s">
        <v>19</v>
      </c>
      <c r="C2" s="3" t="s">
        <v>267</v>
      </c>
      <c r="D2" s="3" t="s">
        <v>748</v>
      </c>
      <c r="E2" s="3" t="s">
        <v>749</v>
      </c>
      <c r="F2" s="3"/>
      <c r="G2" s="3"/>
      <c r="H2" s="3"/>
      <c r="I2" s="3"/>
      <c r="J2" s="3"/>
    </row>
    <row r="3" spans="1:10" x14ac:dyDescent="0.3">
      <c r="A3" s="1" t="s">
        <v>792</v>
      </c>
      <c r="B3" s="1"/>
      <c r="C3" s="67"/>
      <c r="F3" s="3"/>
    </row>
    <row r="4" spans="1:10" x14ac:dyDescent="0.3">
      <c r="A4" s="1" t="s">
        <v>793</v>
      </c>
      <c r="B4" s="1"/>
      <c r="C4" s="67"/>
      <c r="F4" s="3"/>
    </row>
    <row r="5" spans="1:10" x14ac:dyDescent="0.3">
      <c r="A5" s="1"/>
      <c r="B5" s="1"/>
      <c r="C5" s="67"/>
      <c r="F5" s="3"/>
    </row>
    <row r="6" spans="1:10" x14ac:dyDescent="0.3">
      <c r="A6" s="1"/>
      <c r="B6" s="1"/>
      <c r="C6" s="67"/>
      <c r="F6" s="3"/>
    </row>
    <row r="7" spans="1:10" x14ac:dyDescent="0.3">
      <c r="A7" s="1"/>
      <c r="B7" s="1"/>
      <c r="C7" s="67"/>
      <c r="F7" s="3"/>
    </row>
    <row r="8" spans="1:10" x14ac:dyDescent="0.3">
      <c r="A8" s="1"/>
      <c r="B8" s="1"/>
      <c r="C8" s="67"/>
      <c r="F8" s="3"/>
    </row>
    <row r="9" spans="1:10" x14ac:dyDescent="0.3">
      <c r="A9" s="1"/>
      <c r="B9" s="1"/>
      <c r="C9" s="67"/>
      <c r="F9" s="3"/>
    </row>
    <row r="10" spans="1:10" x14ac:dyDescent="0.3">
      <c r="A10" s="1"/>
      <c r="B10" s="1"/>
      <c r="C10" s="67"/>
    </row>
    <row r="11" spans="1:10" x14ac:dyDescent="0.3">
      <c r="A11" s="1"/>
      <c r="B11" s="1"/>
      <c r="C11" s="67"/>
    </row>
    <row r="12" spans="1:10" x14ac:dyDescent="0.3">
      <c r="A12" s="1"/>
      <c r="B12" s="1"/>
      <c r="C12" s="67"/>
    </row>
    <row r="13" spans="1:10" x14ac:dyDescent="0.3">
      <c r="A13" s="1"/>
      <c r="B13" s="1"/>
      <c r="C13" s="67"/>
    </row>
    <row r="14" spans="1:10" x14ac:dyDescent="0.3">
      <c r="A14" s="1"/>
      <c r="B14" s="1"/>
      <c r="C14" s="67"/>
    </row>
    <row r="15" spans="1:10" x14ac:dyDescent="0.3">
      <c r="A15" s="1"/>
      <c r="B15" s="1"/>
      <c r="C15" s="67"/>
    </row>
    <row r="16" spans="1:10" x14ac:dyDescent="0.3">
      <c r="A16" s="1"/>
      <c r="B16" s="1"/>
      <c r="C16" s="67"/>
    </row>
    <row r="17" spans="1:3" x14ac:dyDescent="0.3">
      <c r="A17" s="1"/>
      <c r="B17" s="1"/>
      <c r="C17" s="67"/>
    </row>
    <row r="18" spans="1:3" x14ac:dyDescent="0.3">
      <c r="A18" s="1"/>
      <c r="B18" s="1"/>
      <c r="C18" s="67"/>
    </row>
    <row r="19" spans="1:3" x14ac:dyDescent="0.3">
      <c r="A19" s="1"/>
      <c r="B19" s="1"/>
      <c r="C19" s="67"/>
    </row>
    <row r="20" spans="1:3" x14ac:dyDescent="0.3">
      <c r="A20" s="1"/>
      <c r="B20" s="1"/>
      <c r="C20" s="67"/>
    </row>
    <row r="21" spans="1:3" x14ac:dyDescent="0.3">
      <c r="A21" s="1"/>
      <c r="B21" s="1"/>
      <c r="C21" s="67"/>
    </row>
    <row r="22" spans="1:3" x14ac:dyDescent="0.3">
      <c r="A22" s="1"/>
      <c r="B22" s="1"/>
      <c r="C22" s="67"/>
    </row>
    <row r="23" spans="1:3" x14ac:dyDescent="0.3">
      <c r="A23" s="1"/>
      <c r="B23" s="1"/>
      <c r="C23" s="67"/>
    </row>
    <row r="24" spans="1:3" x14ac:dyDescent="0.3">
      <c r="A24" s="1"/>
      <c r="B24" s="1"/>
      <c r="C24" s="67"/>
    </row>
    <row r="25" spans="1:3" x14ac:dyDescent="0.3">
      <c r="A25" s="1"/>
      <c r="B25" s="1"/>
      <c r="C25" s="67"/>
    </row>
    <row r="26" spans="1:3" x14ac:dyDescent="0.3">
      <c r="A26" s="1"/>
      <c r="B26" s="1"/>
      <c r="C26" s="67"/>
    </row>
    <row r="27" spans="1:3" x14ac:dyDescent="0.3">
      <c r="A27" s="1"/>
      <c r="B27" s="1"/>
      <c r="C27" s="67"/>
    </row>
    <row r="28" spans="1:3" x14ac:dyDescent="0.3">
      <c r="A28" s="1"/>
      <c r="B28" s="1"/>
      <c r="C28" s="67"/>
    </row>
    <row r="29" spans="1:3" x14ac:dyDescent="0.3">
      <c r="A29" s="1"/>
      <c r="B29" s="1"/>
      <c r="C29" s="67"/>
    </row>
    <row r="30" spans="1:3" x14ac:dyDescent="0.3">
      <c r="A30" s="1"/>
      <c r="B30" s="1"/>
      <c r="C30" s="67"/>
    </row>
    <row r="31" spans="1:3" x14ac:dyDescent="0.3">
      <c r="A31" s="1"/>
      <c r="B31" s="1"/>
      <c r="C31" s="67"/>
    </row>
    <row r="32" spans="1:3" x14ac:dyDescent="0.3">
      <c r="A32" s="1"/>
      <c r="B32" s="1"/>
      <c r="C32" s="67"/>
    </row>
    <row r="33" spans="1:3" x14ac:dyDescent="0.3">
      <c r="A33" s="1"/>
      <c r="B33" s="1"/>
      <c r="C33" s="67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  <row r="51" spans="1:3" x14ac:dyDescent="0.3">
      <c r="A51" s="1"/>
      <c r="B51" s="1"/>
      <c r="C51" s="1"/>
    </row>
    <row r="52" spans="1:3" x14ac:dyDescent="0.3">
      <c r="A52" s="1"/>
      <c r="B52" s="1"/>
      <c r="C52" s="1"/>
    </row>
    <row r="53" spans="1:3" x14ac:dyDescent="0.3">
      <c r="A53" s="1"/>
      <c r="B53" s="1"/>
      <c r="C53" s="1"/>
    </row>
    <row r="54" spans="1:3" x14ac:dyDescent="0.3">
      <c r="A54" s="1"/>
      <c r="B54" s="1"/>
      <c r="C54" s="1"/>
    </row>
    <row r="55" spans="1:3" x14ac:dyDescent="0.3">
      <c r="A55" s="1"/>
      <c r="B55" s="1"/>
      <c r="C55" s="1"/>
    </row>
    <row r="56" spans="1:3" x14ac:dyDescent="0.3">
      <c r="A56" s="1"/>
      <c r="B56" s="1"/>
      <c r="C56" s="1"/>
    </row>
    <row r="57" spans="1:3" x14ac:dyDescent="0.3">
      <c r="A57" s="1"/>
      <c r="B57" s="1"/>
      <c r="C57" s="1"/>
    </row>
    <row r="58" spans="1:3" x14ac:dyDescent="0.3">
      <c r="A58" s="1"/>
      <c r="B58" s="1"/>
      <c r="C58" s="1"/>
    </row>
    <row r="59" spans="1:3" x14ac:dyDescent="0.3">
      <c r="A59" s="1"/>
      <c r="B59" s="1"/>
      <c r="C59" s="1"/>
    </row>
    <row r="60" spans="1:3" x14ac:dyDescent="0.3">
      <c r="A60" s="1"/>
      <c r="B60" s="1"/>
      <c r="C60" s="1"/>
    </row>
    <row r="61" spans="1:3" x14ac:dyDescent="0.3">
      <c r="A61" s="1"/>
      <c r="B61" s="1"/>
      <c r="C61" s="1"/>
    </row>
    <row r="62" spans="1:3" x14ac:dyDescent="0.3">
      <c r="A62" s="1"/>
      <c r="B62" s="1"/>
      <c r="C62" s="1"/>
    </row>
    <row r="63" spans="1:3" x14ac:dyDescent="0.3">
      <c r="A63" s="1"/>
      <c r="B63" s="1"/>
      <c r="C63" s="1"/>
    </row>
    <row r="64" spans="1:3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A75" s="1"/>
      <c r="B75" s="1"/>
      <c r="C75" s="1"/>
    </row>
    <row r="76" spans="1:3" x14ac:dyDescent="0.3">
      <c r="A76" s="1"/>
      <c r="B76" s="1"/>
      <c r="C76" s="1"/>
    </row>
    <row r="77" spans="1:3" x14ac:dyDescent="0.3">
      <c r="A77" s="1"/>
      <c r="B77" s="1"/>
      <c r="C77" s="1"/>
    </row>
    <row r="78" spans="1:3" x14ac:dyDescent="0.3">
      <c r="A78" s="1"/>
      <c r="B78" s="1"/>
      <c r="C78" s="1"/>
    </row>
    <row r="79" spans="1:3" x14ac:dyDescent="0.3">
      <c r="A79" s="1"/>
      <c r="B79" s="1"/>
      <c r="C79" s="1"/>
    </row>
    <row r="80" spans="1:3" x14ac:dyDescent="0.3">
      <c r="A80" s="1"/>
      <c r="B80" s="1"/>
      <c r="C80" s="1"/>
    </row>
    <row r="81" spans="1:3" x14ac:dyDescent="0.3">
      <c r="A81" s="1"/>
      <c r="B81" s="1"/>
      <c r="C81" s="1"/>
    </row>
    <row r="82" spans="1:3" x14ac:dyDescent="0.3">
      <c r="A82" s="1"/>
      <c r="B82" s="1"/>
      <c r="C82" s="1"/>
    </row>
    <row r="83" spans="1:3" x14ac:dyDescent="0.3">
      <c r="A83" s="1"/>
      <c r="B83" s="1"/>
      <c r="C83" s="1"/>
    </row>
    <row r="84" spans="1:3" x14ac:dyDescent="0.3">
      <c r="A84" s="1"/>
      <c r="B84" s="1"/>
      <c r="C84" s="1"/>
    </row>
    <row r="85" spans="1:3" x14ac:dyDescent="0.3">
      <c r="A85" s="1"/>
      <c r="B85" s="1"/>
      <c r="C85" s="1"/>
    </row>
    <row r="86" spans="1:3" x14ac:dyDescent="0.3">
      <c r="A86" s="1"/>
      <c r="B86" s="1"/>
      <c r="C86" s="1"/>
    </row>
    <row r="87" spans="1:3" x14ac:dyDescent="0.3">
      <c r="A87" s="1"/>
      <c r="B87" s="1"/>
      <c r="C87" s="1"/>
    </row>
    <row r="88" spans="1:3" x14ac:dyDescent="0.3">
      <c r="A88" s="1"/>
      <c r="B88" s="1"/>
      <c r="C88" s="1"/>
    </row>
    <row r="89" spans="1:3" x14ac:dyDescent="0.3">
      <c r="A89" s="1"/>
      <c r="B89" s="1"/>
      <c r="C89" s="1"/>
    </row>
    <row r="90" spans="1:3" x14ac:dyDescent="0.3">
      <c r="A90" s="1"/>
      <c r="B90" s="1"/>
      <c r="C90" s="1"/>
    </row>
    <row r="91" spans="1:3" x14ac:dyDescent="0.3">
      <c r="A91" s="1"/>
      <c r="B91" s="1"/>
      <c r="C91" s="1"/>
    </row>
    <row r="92" spans="1:3" x14ac:dyDescent="0.3">
      <c r="A92" s="1"/>
      <c r="B92" s="1"/>
      <c r="C92" s="1"/>
    </row>
    <row r="93" spans="1:3" x14ac:dyDescent="0.3">
      <c r="A93" s="1"/>
      <c r="B93" s="1"/>
      <c r="C93" s="1"/>
    </row>
    <row r="94" spans="1:3" x14ac:dyDescent="0.3">
      <c r="A94" s="1"/>
      <c r="B94" s="1"/>
      <c r="C94" s="1"/>
    </row>
    <row r="95" spans="1:3" x14ac:dyDescent="0.3">
      <c r="A95" s="1"/>
      <c r="B95" s="1"/>
      <c r="C95" s="1"/>
    </row>
    <row r="96" spans="1:3" x14ac:dyDescent="0.3">
      <c r="A96" s="1"/>
      <c r="B96" s="1"/>
      <c r="C96" s="1"/>
    </row>
    <row r="97" spans="1:3" x14ac:dyDescent="0.3">
      <c r="A97" s="1"/>
      <c r="B97" s="1"/>
      <c r="C97" s="1"/>
    </row>
    <row r="98" spans="1:3" x14ac:dyDescent="0.3">
      <c r="A98" s="1"/>
      <c r="B98" s="1"/>
      <c r="C98" s="1"/>
    </row>
    <row r="99" spans="1:3" x14ac:dyDescent="0.3">
      <c r="A99" s="1"/>
      <c r="B99" s="1"/>
      <c r="C99" s="1"/>
    </row>
    <row r="100" spans="1:3" x14ac:dyDescent="0.3">
      <c r="A100" s="1"/>
      <c r="B100" s="1"/>
      <c r="C100" s="1"/>
    </row>
    <row r="101" spans="1:3" x14ac:dyDescent="0.3">
      <c r="A101" s="1"/>
      <c r="B101" s="1"/>
      <c r="C101" s="1"/>
    </row>
    <row r="102" spans="1:3" x14ac:dyDescent="0.3">
      <c r="A102" s="1"/>
      <c r="B102" s="1"/>
      <c r="C102" s="1"/>
    </row>
    <row r="103" spans="1:3" x14ac:dyDescent="0.3">
      <c r="A103" s="1"/>
      <c r="B103" s="1"/>
      <c r="C103" s="1"/>
    </row>
    <row r="104" spans="1:3" x14ac:dyDescent="0.3">
      <c r="A104" s="1"/>
      <c r="B104" s="1"/>
      <c r="C104" s="1"/>
    </row>
    <row r="105" spans="1:3" x14ac:dyDescent="0.3">
      <c r="A105" s="1"/>
      <c r="B105" s="1"/>
      <c r="C105" s="1"/>
    </row>
    <row r="106" spans="1:3" x14ac:dyDescent="0.3">
      <c r="A106" s="1"/>
      <c r="B106" s="1"/>
      <c r="C106" s="1"/>
    </row>
    <row r="107" spans="1:3" x14ac:dyDescent="0.3">
      <c r="A107" s="1"/>
      <c r="B107" s="1"/>
      <c r="C107" s="1"/>
    </row>
    <row r="108" spans="1:3" x14ac:dyDescent="0.3">
      <c r="A108" s="1"/>
      <c r="B108" s="1"/>
      <c r="C108" s="1"/>
    </row>
    <row r="109" spans="1:3" x14ac:dyDescent="0.3">
      <c r="A109" s="1"/>
      <c r="B109" s="1"/>
      <c r="C109" s="1"/>
    </row>
    <row r="110" spans="1:3" x14ac:dyDescent="0.3">
      <c r="A110" s="1"/>
      <c r="B110" s="1"/>
      <c r="C110" s="1"/>
    </row>
    <row r="111" spans="1:3" x14ac:dyDescent="0.3">
      <c r="A111" s="1"/>
      <c r="B111" s="1"/>
      <c r="C111" s="1"/>
    </row>
    <row r="112" spans="1:3" x14ac:dyDescent="0.3">
      <c r="A112" s="1"/>
      <c r="B112" s="1"/>
      <c r="C112" s="1"/>
    </row>
    <row r="113" spans="1:3" x14ac:dyDescent="0.3">
      <c r="A113" s="1"/>
      <c r="B113" s="1"/>
      <c r="C113" s="1"/>
    </row>
    <row r="114" spans="1:3" x14ac:dyDescent="0.3">
      <c r="A114" s="1"/>
      <c r="B114" s="1"/>
      <c r="C114" s="1"/>
    </row>
    <row r="115" spans="1:3" x14ac:dyDescent="0.3">
      <c r="A115" s="1"/>
      <c r="B115" s="1"/>
      <c r="C115" s="1"/>
    </row>
    <row r="116" spans="1:3" x14ac:dyDescent="0.3">
      <c r="A116" s="1"/>
      <c r="B116" s="1"/>
      <c r="C116" s="1"/>
    </row>
    <row r="117" spans="1:3" x14ac:dyDescent="0.3">
      <c r="A117" s="1"/>
      <c r="B117" s="1"/>
      <c r="C117" s="1"/>
    </row>
    <row r="118" spans="1:3" x14ac:dyDescent="0.3">
      <c r="A118" s="1"/>
      <c r="B118" s="1"/>
      <c r="C118" s="1"/>
    </row>
    <row r="119" spans="1:3" x14ac:dyDescent="0.3">
      <c r="A119" s="1"/>
      <c r="B119" s="1"/>
      <c r="C119" s="1"/>
    </row>
    <row r="120" spans="1:3" x14ac:dyDescent="0.3">
      <c r="A120" s="1"/>
      <c r="B120" s="1"/>
      <c r="C120" s="1"/>
    </row>
    <row r="121" spans="1:3" x14ac:dyDescent="0.3">
      <c r="A121" s="1"/>
      <c r="B121" s="1"/>
      <c r="C121" s="1"/>
    </row>
    <row r="122" spans="1:3" x14ac:dyDescent="0.3">
      <c r="A122" s="1"/>
      <c r="B122" s="1"/>
      <c r="C122" s="1"/>
    </row>
    <row r="123" spans="1:3" x14ac:dyDescent="0.3">
      <c r="A123" s="1"/>
      <c r="B123" s="1"/>
      <c r="C123" s="1"/>
    </row>
    <row r="124" spans="1:3" x14ac:dyDescent="0.3">
      <c r="A124" s="1"/>
      <c r="B124" s="1"/>
      <c r="C124" s="1"/>
    </row>
    <row r="125" spans="1:3" x14ac:dyDescent="0.3">
      <c r="A125" s="1"/>
      <c r="B125" s="1"/>
      <c r="C125" s="1"/>
    </row>
    <row r="126" spans="1:3" x14ac:dyDescent="0.3">
      <c r="A126" s="1"/>
      <c r="B126" s="1"/>
      <c r="C126" s="1"/>
    </row>
    <row r="127" spans="1:3" x14ac:dyDescent="0.3">
      <c r="A127" s="1"/>
      <c r="B127" s="1"/>
      <c r="C127" s="1"/>
    </row>
    <row r="128" spans="1:3" x14ac:dyDescent="0.3">
      <c r="A128" s="1"/>
      <c r="B128" s="1"/>
      <c r="C128" s="1"/>
    </row>
    <row r="129" spans="1:3" x14ac:dyDescent="0.3">
      <c r="A129" s="1"/>
      <c r="B129" s="1"/>
      <c r="C129" s="1"/>
    </row>
    <row r="130" spans="1:3" x14ac:dyDescent="0.3">
      <c r="A130" s="1"/>
      <c r="B130" s="1"/>
      <c r="C130" s="1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1"/>
      <c r="B135" s="1"/>
      <c r="C135" s="1"/>
    </row>
    <row r="136" spans="1:3" x14ac:dyDescent="0.3">
      <c r="A136" s="1"/>
      <c r="B136" s="1"/>
      <c r="C136" s="1"/>
    </row>
    <row r="137" spans="1:3" x14ac:dyDescent="0.3">
      <c r="A137" s="1"/>
      <c r="B137" s="1"/>
      <c r="C137" s="1"/>
    </row>
    <row r="138" spans="1:3" x14ac:dyDescent="0.3">
      <c r="A138" s="1"/>
      <c r="B138" s="1"/>
      <c r="C138" s="1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1"/>
      <c r="B144" s="1"/>
      <c r="C144" s="1"/>
    </row>
    <row r="145" spans="1:3" x14ac:dyDescent="0.3">
      <c r="A145" s="1"/>
      <c r="B145" s="1"/>
      <c r="C145" s="1"/>
    </row>
    <row r="146" spans="1:3" x14ac:dyDescent="0.3">
      <c r="A146" s="1"/>
      <c r="B146" s="1"/>
      <c r="C146" s="1"/>
    </row>
    <row r="147" spans="1:3" x14ac:dyDescent="0.3">
      <c r="A147" s="1"/>
      <c r="B147" s="1"/>
      <c r="C147" s="1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1"/>
      <c r="B153" s="1"/>
      <c r="C153" s="1"/>
    </row>
    <row r="154" spans="1:3" x14ac:dyDescent="0.3">
      <c r="A154" s="1"/>
      <c r="B154" s="1"/>
      <c r="C154" s="1"/>
    </row>
    <row r="155" spans="1:3" x14ac:dyDescent="0.3">
      <c r="A155" s="1"/>
      <c r="B155" s="1"/>
      <c r="C155" s="1"/>
    </row>
    <row r="156" spans="1:3" x14ac:dyDescent="0.3">
      <c r="A156" s="1"/>
      <c r="B156" s="1"/>
      <c r="C156" s="1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  <row r="160" spans="1:3" x14ac:dyDescent="0.3">
      <c r="A160" s="1"/>
      <c r="B160" s="1"/>
      <c r="C160" s="1"/>
    </row>
    <row r="161" spans="1:3" x14ac:dyDescent="0.3">
      <c r="A161" s="1"/>
      <c r="B161" s="1"/>
      <c r="C161" s="1"/>
    </row>
    <row r="162" spans="1:3" x14ac:dyDescent="0.3">
      <c r="A162" s="1"/>
      <c r="B162" s="1"/>
      <c r="C162" s="1"/>
    </row>
  </sheetData>
  <sortState ref="A1:C277">
    <sortCondition ref="C1:C277"/>
  </sortState>
  <pageMargins left="0.7" right="0.7" top="0.75" bottom="0.75" header="0.3" footer="0.3"/>
  <pageSetup paperSize="1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58"/>
  <sheetViews>
    <sheetView topLeftCell="B1046" zoomScaleNormal="100" workbookViewId="0">
      <selection activeCell="B1058" sqref="B1058"/>
    </sheetView>
  </sheetViews>
  <sheetFormatPr defaultRowHeight="14.4" x14ac:dyDescent="0.3"/>
  <cols>
    <col min="2" max="2" width="9" bestFit="1" customWidth="1"/>
    <col min="3" max="3" width="34.33203125" customWidth="1"/>
    <col min="4" max="4" width="26.88671875" bestFit="1" customWidth="1"/>
    <col min="5" max="5" width="25" bestFit="1" customWidth="1"/>
    <col min="6" max="6" width="13.5546875" bestFit="1" customWidth="1"/>
    <col min="7" max="7" width="12" bestFit="1" customWidth="1"/>
    <col min="8" max="8" width="11.5546875" bestFit="1" customWidth="1"/>
    <col min="10" max="10" width="11.88671875" bestFit="1" customWidth="1"/>
    <col min="11" max="11" width="137.88671875" bestFit="1" customWidth="1"/>
    <col min="12" max="12" width="9.6640625" customWidth="1"/>
  </cols>
  <sheetData>
    <row r="1" spans="2:12" x14ac:dyDescent="0.3">
      <c r="B1" s="3" t="s">
        <v>19</v>
      </c>
      <c r="C1" s="3" t="s">
        <v>2</v>
      </c>
      <c r="D1" s="3" t="s">
        <v>3</v>
      </c>
      <c r="E1" s="3" t="s">
        <v>1</v>
      </c>
      <c r="F1" s="3" t="s">
        <v>33</v>
      </c>
      <c r="G1" s="3" t="s">
        <v>13</v>
      </c>
      <c r="H1" s="3" t="s">
        <v>4</v>
      </c>
      <c r="I1" s="3" t="s">
        <v>8</v>
      </c>
      <c r="J1" s="3"/>
      <c r="K1" s="3" t="s">
        <v>35</v>
      </c>
    </row>
    <row r="2" spans="2:12" x14ac:dyDescent="0.3">
      <c r="B2">
        <v>1</v>
      </c>
      <c r="C2" s="2" t="s">
        <v>69</v>
      </c>
      <c r="D2" t="s">
        <v>5</v>
      </c>
      <c r="E2" t="s">
        <v>0</v>
      </c>
      <c r="F2" s="6" t="s">
        <v>71</v>
      </c>
      <c r="G2">
        <v>1</v>
      </c>
      <c r="H2" s="31">
        <v>12000</v>
      </c>
      <c r="K2" t="s">
        <v>75</v>
      </c>
    </row>
    <row r="3" spans="2:12" x14ac:dyDescent="0.3">
      <c r="B3">
        <v>2</v>
      </c>
      <c r="C3" s="2" t="s">
        <v>48</v>
      </c>
      <c r="D3" s="4" t="s">
        <v>6</v>
      </c>
      <c r="E3" t="s">
        <v>7</v>
      </c>
      <c r="F3" t="s">
        <v>42</v>
      </c>
      <c r="G3">
        <v>1</v>
      </c>
      <c r="H3" s="31">
        <v>10000</v>
      </c>
      <c r="I3">
        <v>2000</v>
      </c>
    </row>
    <row r="4" spans="2:12" x14ac:dyDescent="0.3">
      <c r="B4">
        <v>3</v>
      </c>
      <c r="C4" t="s">
        <v>48</v>
      </c>
      <c r="D4" t="s">
        <v>6</v>
      </c>
      <c r="E4" t="s">
        <v>43</v>
      </c>
      <c r="G4">
        <v>1</v>
      </c>
      <c r="H4" s="32">
        <v>0</v>
      </c>
      <c r="I4">
        <v>12000</v>
      </c>
      <c r="K4" t="s">
        <v>44</v>
      </c>
    </row>
    <row r="5" spans="2:12" x14ac:dyDescent="0.3">
      <c r="B5">
        <v>4</v>
      </c>
      <c r="C5" s="2" t="s">
        <v>9</v>
      </c>
      <c r="D5" t="s">
        <v>14</v>
      </c>
      <c r="E5" t="s">
        <v>12</v>
      </c>
      <c r="G5">
        <v>9</v>
      </c>
      <c r="H5" s="31">
        <v>108000</v>
      </c>
      <c r="K5" t="s">
        <v>29</v>
      </c>
    </row>
    <row r="6" spans="2:12" x14ac:dyDescent="0.3">
      <c r="B6">
        <v>5</v>
      </c>
      <c r="C6" s="2" t="s">
        <v>10</v>
      </c>
      <c r="D6" t="s">
        <v>11</v>
      </c>
      <c r="E6" t="s">
        <v>12</v>
      </c>
      <c r="F6" t="s">
        <v>41</v>
      </c>
      <c r="G6">
        <v>3</v>
      </c>
      <c r="H6" s="31">
        <v>36000</v>
      </c>
      <c r="K6" t="s">
        <v>34</v>
      </c>
      <c r="L6" t="s">
        <v>45</v>
      </c>
    </row>
    <row r="7" spans="2:12" x14ac:dyDescent="0.3">
      <c r="B7">
        <v>6</v>
      </c>
      <c r="C7" s="2" t="s">
        <v>68</v>
      </c>
      <c r="D7" t="s">
        <v>16</v>
      </c>
      <c r="E7" t="s">
        <v>15</v>
      </c>
      <c r="F7" s="6" t="s">
        <v>64</v>
      </c>
      <c r="G7">
        <v>1</v>
      </c>
      <c r="H7" s="31">
        <v>12000</v>
      </c>
      <c r="K7" t="s">
        <v>62</v>
      </c>
    </row>
    <row r="8" spans="2:12" x14ac:dyDescent="0.3">
      <c r="B8">
        <v>7</v>
      </c>
      <c r="C8" s="2" t="s">
        <v>17</v>
      </c>
      <c r="D8" t="s">
        <v>18</v>
      </c>
      <c r="E8" t="s">
        <v>12</v>
      </c>
      <c r="F8" s="6" t="s">
        <v>73</v>
      </c>
      <c r="G8">
        <v>1</v>
      </c>
      <c r="H8" s="31">
        <v>17000</v>
      </c>
      <c r="I8" s="4"/>
      <c r="J8" s="4"/>
      <c r="K8" t="s">
        <v>36</v>
      </c>
    </row>
    <row r="9" spans="2:12" x14ac:dyDescent="0.3">
      <c r="C9" s="4"/>
      <c r="F9" s="6"/>
      <c r="H9" s="33">
        <v>20000</v>
      </c>
      <c r="I9" s="4"/>
      <c r="J9" s="4"/>
      <c r="K9" t="s">
        <v>187</v>
      </c>
    </row>
    <row r="10" spans="2:12" x14ac:dyDescent="0.3">
      <c r="B10">
        <v>8</v>
      </c>
      <c r="C10" s="2" t="s">
        <v>20</v>
      </c>
      <c r="D10" t="s">
        <v>21</v>
      </c>
      <c r="E10" t="s">
        <v>22</v>
      </c>
      <c r="F10" s="6" t="s">
        <v>64</v>
      </c>
      <c r="G10">
        <v>1</v>
      </c>
      <c r="H10" s="31">
        <v>6000</v>
      </c>
      <c r="K10" t="s">
        <v>65</v>
      </c>
    </row>
    <row r="11" spans="2:12" x14ac:dyDescent="0.3">
      <c r="B11">
        <v>9</v>
      </c>
      <c r="C11" s="2" t="s">
        <v>23</v>
      </c>
      <c r="D11" t="s">
        <v>24</v>
      </c>
      <c r="E11" t="s">
        <v>12</v>
      </c>
      <c r="G11">
        <v>7</v>
      </c>
      <c r="H11" s="31">
        <v>150000</v>
      </c>
    </row>
    <row r="12" spans="2:12" x14ac:dyDescent="0.3">
      <c r="B12">
        <v>10</v>
      </c>
      <c r="C12" s="2" t="s">
        <v>25</v>
      </c>
      <c r="D12" t="s">
        <v>26</v>
      </c>
      <c r="E12" t="s">
        <v>12</v>
      </c>
      <c r="G12">
        <v>1</v>
      </c>
      <c r="H12" s="31">
        <v>12000</v>
      </c>
    </row>
    <row r="13" spans="2:12" x14ac:dyDescent="0.3">
      <c r="B13">
        <v>11</v>
      </c>
      <c r="C13" s="2" t="s">
        <v>27</v>
      </c>
      <c r="D13" t="s">
        <v>28</v>
      </c>
      <c r="E13" t="s">
        <v>12</v>
      </c>
      <c r="F13" s="6" t="s">
        <v>72</v>
      </c>
      <c r="G13">
        <v>1</v>
      </c>
      <c r="H13" s="31">
        <v>138600</v>
      </c>
    </row>
    <row r="14" spans="2:12" x14ac:dyDescent="0.3">
      <c r="B14">
        <v>12</v>
      </c>
      <c r="C14" s="10" t="s">
        <v>30</v>
      </c>
      <c r="D14" t="s">
        <v>31</v>
      </c>
      <c r="E14" t="s">
        <v>32</v>
      </c>
      <c r="G14">
        <v>1</v>
      </c>
      <c r="H14" s="32">
        <v>0</v>
      </c>
      <c r="I14">
        <v>0</v>
      </c>
      <c r="K14" t="s">
        <v>234</v>
      </c>
    </row>
    <row r="15" spans="2:12" x14ac:dyDescent="0.3">
      <c r="B15">
        <v>13</v>
      </c>
      <c r="C15" s="2" t="s">
        <v>37</v>
      </c>
      <c r="D15" t="s">
        <v>38</v>
      </c>
      <c r="E15" t="s">
        <v>39</v>
      </c>
      <c r="G15">
        <v>1</v>
      </c>
      <c r="H15" s="31">
        <v>6000</v>
      </c>
      <c r="K15" t="s">
        <v>40</v>
      </c>
    </row>
    <row r="16" spans="2:12" x14ac:dyDescent="0.3">
      <c r="B16">
        <v>14</v>
      </c>
      <c r="C16" s="2" t="s">
        <v>47</v>
      </c>
      <c r="E16" t="s">
        <v>46</v>
      </c>
      <c r="F16" s="5" t="s">
        <v>63</v>
      </c>
      <c r="G16">
        <v>1</v>
      </c>
      <c r="H16" s="31">
        <v>6000</v>
      </c>
      <c r="K16" t="s">
        <v>57</v>
      </c>
    </row>
    <row r="17" spans="2:11" x14ac:dyDescent="0.3">
      <c r="B17">
        <v>15</v>
      </c>
      <c r="C17" s="2" t="s">
        <v>49</v>
      </c>
      <c r="D17" t="s">
        <v>50</v>
      </c>
      <c r="E17" t="s">
        <v>51</v>
      </c>
      <c r="F17" s="6" t="s">
        <v>71</v>
      </c>
      <c r="G17">
        <v>1</v>
      </c>
      <c r="H17" s="31">
        <v>12000</v>
      </c>
      <c r="K17" t="s">
        <v>74</v>
      </c>
    </row>
    <row r="18" spans="2:11" x14ac:dyDescent="0.3">
      <c r="B18">
        <v>16</v>
      </c>
      <c r="C18" s="2" t="s">
        <v>53</v>
      </c>
      <c r="D18" t="s">
        <v>52</v>
      </c>
      <c r="E18" t="s">
        <v>12</v>
      </c>
      <c r="G18">
        <v>1</v>
      </c>
      <c r="H18" s="31">
        <v>10000</v>
      </c>
      <c r="K18" t="s">
        <v>54</v>
      </c>
    </row>
    <row r="19" spans="2:11" x14ac:dyDescent="0.3">
      <c r="B19">
        <v>17</v>
      </c>
      <c r="C19" t="s">
        <v>55</v>
      </c>
      <c r="D19" t="s">
        <v>56</v>
      </c>
      <c r="E19" t="s">
        <v>7</v>
      </c>
      <c r="G19">
        <v>1</v>
      </c>
      <c r="H19" s="32">
        <v>0</v>
      </c>
      <c r="I19">
        <v>12000</v>
      </c>
    </row>
    <row r="20" spans="2:11" x14ac:dyDescent="0.3">
      <c r="B20">
        <v>18</v>
      </c>
      <c r="C20" s="2" t="s">
        <v>59</v>
      </c>
      <c r="D20" t="s">
        <v>58</v>
      </c>
      <c r="E20" t="s">
        <v>60</v>
      </c>
      <c r="F20" s="6" t="s">
        <v>64</v>
      </c>
      <c r="G20">
        <v>1</v>
      </c>
      <c r="H20" s="31">
        <v>6000</v>
      </c>
      <c r="K20" t="s">
        <v>117</v>
      </c>
    </row>
    <row r="21" spans="2:11" x14ac:dyDescent="0.3">
      <c r="B21">
        <v>19</v>
      </c>
      <c r="C21" s="2" t="s">
        <v>59</v>
      </c>
      <c r="D21" t="s">
        <v>61</v>
      </c>
      <c r="E21" t="s">
        <v>60</v>
      </c>
      <c r="G21">
        <v>1</v>
      </c>
      <c r="H21" s="31">
        <v>6000</v>
      </c>
      <c r="K21" t="s">
        <v>76</v>
      </c>
    </row>
    <row r="22" spans="2:11" x14ac:dyDescent="0.3">
      <c r="B22">
        <v>20</v>
      </c>
      <c r="C22" s="2" t="s">
        <v>48</v>
      </c>
      <c r="D22" t="s">
        <v>66</v>
      </c>
      <c r="E22" t="s">
        <v>67</v>
      </c>
      <c r="G22">
        <v>1</v>
      </c>
      <c r="H22" s="31">
        <v>40000</v>
      </c>
      <c r="I22" s="4">
        <v>1000</v>
      </c>
      <c r="J22" s="4"/>
      <c r="K22" t="s">
        <v>107</v>
      </c>
    </row>
    <row r="23" spans="2:11" x14ac:dyDescent="0.3">
      <c r="B23">
        <v>21</v>
      </c>
      <c r="C23" s="2" t="s">
        <v>47</v>
      </c>
      <c r="D23" t="s">
        <v>70</v>
      </c>
      <c r="E23" t="s">
        <v>12</v>
      </c>
      <c r="G23">
        <v>1</v>
      </c>
      <c r="H23" s="31">
        <v>15000</v>
      </c>
    </row>
    <row r="24" spans="2:11" x14ac:dyDescent="0.3">
      <c r="B24">
        <v>22</v>
      </c>
      <c r="C24" s="2" t="s">
        <v>47</v>
      </c>
      <c r="D24" t="s">
        <v>92</v>
      </c>
      <c r="E24" t="s">
        <v>12</v>
      </c>
      <c r="G24">
        <v>1</v>
      </c>
      <c r="H24" s="31">
        <v>40000</v>
      </c>
      <c r="K24" t="s">
        <v>93</v>
      </c>
    </row>
    <row r="25" spans="2:11" x14ac:dyDescent="0.3">
      <c r="B25">
        <v>23</v>
      </c>
      <c r="C25" s="2" t="s">
        <v>77</v>
      </c>
      <c r="D25" t="s">
        <v>78</v>
      </c>
      <c r="E25" t="s">
        <v>79</v>
      </c>
      <c r="F25" s="6" t="s">
        <v>87</v>
      </c>
      <c r="G25">
        <v>1</v>
      </c>
      <c r="H25" s="31">
        <v>23000</v>
      </c>
      <c r="K25" t="s">
        <v>86</v>
      </c>
    </row>
    <row r="26" spans="2:11" x14ac:dyDescent="0.3">
      <c r="B26">
        <v>24</v>
      </c>
      <c r="C26" s="13" t="s">
        <v>81</v>
      </c>
      <c r="D26" t="s">
        <v>80</v>
      </c>
      <c r="E26" t="s">
        <v>51</v>
      </c>
      <c r="G26">
        <v>1</v>
      </c>
      <c r="H26" s="34">
        <v>15000</v>
      </c>
      <c r="K26" t="s">
        <v>120</v>
      </c>
    </row>
    <row r="27" spans="2:11" x14ac:dyDescent="0.3">
      <c r="B27">
        <v>25</v>
      </c>
      <c r="C27" s="2" t="s">
        <v>82</v>
      </c>
      <c r="D27" t="s">
        <v>11</v>
      </c>
      <c r="E27" t="s">
        <v>12</v>
      </c>
      <c r="G27">
        <v>1</v>
      </c>
      <c r="H27" s="31">
        <v>56000</v>
      </c>
      <c r="I27" s="4"/>
      <c r="J27" s="4"/>
      <c r="K27" t="s">
        <v>101</v>
      </c>
    </row>
    <row r="28" spans="2:11" x14ac:dyDescent="0.3">
      <c r="B28">
        <v>26</v>
      </c>
      <c r="C28" s="2" t="s">
        <v>84</v>
      </c>
      <c r="D28" t="s">
        <v>85</v>
      </c>
      <c r="E28" t="s">
        <v>12</v>
      </c>
      <c r="G28">
        <v>1</v>
      </c>
      <c r="H28" s="31">
        <v>12000</v>
      </c>
      <c r="K28" t="s">
        <v>90</v>
      </c>
    </row>
    <row r="29" spans="2:11" x14ac:dyDescent="0.3">
      <c r="B29">
        <v>27</v>
      </c>
      <c r="C29" s="2" t="s">
        <v>88</v>
      </c>
      <c r="D29" t="s">
        <v>18</v>
      </c>
      <c r="E29" t="s">
        <v>51</v>
      </c>
      <c r="H29" s="31">
        <v>41000</v>
      </c>
      <c r="K29" t="s">
        <v>89</v>
      </c>
    </row>
    <row r="30" spans="2:11" x14ac:dyDescent="0.3">
      <c r="B30">
        <v>28</v>
      </c>
      <c r="C30" s="2" t="s">
        <v>91</v>
      </c>
      <c r="D30" t="s">
        <v>58</v>
      </c>
      <c r="E30" t="s">
        <v>163</v>
      </c>
      <c r="H30" s="31">
        <v>32000</v>
      </c>
      <c r="K30" t="s">
        <v>162</v>
      </c>
    </row>
    <row r="31" spans="2:11" x14ac:dyDescent="0.3">
      <c r="B31">
        <v>29</v>
      </c>
      <c r="C31" s="2" t="s">
        <v>47</v>
      </c>
      <c r="D31" t="s">
        <v>94</v>
      </c>
      <c r="E31" t="s">
        <v>12</v>
      </c>
      <c r="F31" s="6" t="s">
        <v>96</v>
      </c>
      <c r="H31" s="31">
        <v>40000</v>
      </c>
      <c r="I31" s="4"/>
      <c r="J31" s="4"/>
    </row>
    <row r="32" spans="2:11" x14ac:dyDescent="0.3">
      <c r="B32">
        <v>30</v>
      </c>
      <c r="C32" s="2" t="s">
        <v>23</v>
      </c>
      <c r="D32" t="s">
        <v>24</v>
      </c>
      <c r="E32" t="s">
        <v>12</v>
      </c>
      <c r="F32" s="6" t="s">
        <v>95</v>
      </c>
      <c r="H32" s="31">
        <f>70000+27000</f>
        <v>97000</v>
      </c>
      <c r="K32" t="s">
        <v>172</v>
      </c>
    </row>
    <row r="33" spans="2:11" x14ac:dyDescent="0.3">
      <c r="B33">
        <v>31</v>
      </c>
      <c r="C33" s="12" t="s">
        <v>97</v>
      </c>
      <c r="D33" s="4" t="s">
        <v>80</v>
      </c>
      <c r="E33" s="4" t="s">
        <v>12</v>
      </c>
      <c r="F33" s="11" t="s">
        <v>98</v>
      </c>
      <c r="G33" s="4"/>
      <c r="H33" s="34">
        <v>4000</v>
      </c>
      <c r="K33" t="s">
        <v>121</v>
      </c>
    </row>
    <row r="34" spans="2:11" x14ac:dyDescent="0.3">
      <c r="B34">
        <v>32</v>
      </c>
      <c r="C34" s="2" t="s">
        <v>99</v>
      </c>
      <c r="D34" t="s">
        <v>100</v>
      </c>
      <c r="E34" t="s">
        <v>12</v>
      </c>
      <c r="F34" s="6" t="s">
        <v>98</v>
      </c>
      <c r="H34" s="31">
        <v>35000</v>
      </c>
      <c r="K34" t="s">
        <v>128</v>
      </c>
    </row>
    <row r="35" spans="2:11" x14ac:dyDescent="0.3">
      <c r="B35">
        <v>33</v>
      </c>
      <c r="C35" s="15" t="s">
        <v>102</v>
      </c>
      <c r="D35" t="s">
        <v>103</v>
      </c>
      <c r="E35" t="s">
        <v>12</v>
      </c>
      <c r="H35" s="35">
        <v>39000</v>
      </c>
      <c r="K35" t="s">
        <v>136</v>
      </c>
    </row>
    <row r="36" spans="2:11" x14ac:dyDescent="0.3">
      <c r="B36">
        <v>34</v>
      </c>
      <c r="C36" s="15" t="s">
        <v>104</v>
      </c>
      <c r="D36" t="s">
        <v>105</v>
      </c>
      <c r="E36" t="s">
        <v>106</v>
      </c>
      <c r="G36" s="14">
        <f>137000-(45000+50000+42000)</f>
        <v>0</v>
      </c>
      <c r="H36" s="35">
        <v>136000</v>
      </c>
      <c r="K36" t="s">
        <v>135</v>
      </c>
    </row>
    <row r="37" spans="2:11" x14ac:dyDescent="0.3">
      <c r="B37">
        <v>35</v>
      </c>
      <c r="C37" s="14" t="s">
        <v>10</v>
      </c>
      <c r="D37" t="s">
        <v>11</v>
      </c>
      <c r="E37" t="s">
        <v>12</v>
      </c>
      <c r="G37">
        <f>100000+180000+40500-30000</f>
        <v>290500</v>
      </c>
      <c r="H37" s="35">
        <f>20000+50000+30000+30000+20000+65000+50000+25500</f>
        <v>290500</v>
      </c>
      <c r="I37">
        <f>G37-H37</f>
        <v>0</v>
      </c>
      <c r="K37" t="s">
        <v>108</v>
      </c>
    </row>
    <row r="38" spans="2:11" x14ac:dyDescent="0.3">
      <c r="H38" s="8"/>
      <c r="K38" t="s">
        <v>109</v>
      </c>
    </row>
    <row r="39" spans="2:11" x14ac:dyDescent="0.3">
      <c r="H39" s="8"/>
      <c r="K39" t="s">
        <v>169</v>
      </c>
    </row>
    <row r="40" spans="2:11" x14ac:dyDescent="0.3">
      <c r="H40" s="8"/>
      <c r="K40" t="s">
        <v>173</v>
      </c>
    </row>
    <row r="41" spans="2:11" x14ac:dyDescent="0.3">
      <c r="B41">
        <v>36</v>
      </c>
      <c r="C41" s="2" t="s">
        <v>110</v>
      </c>
      <c r="D41" t="s">
        <v>111</v>
      </c>
      <c r="E41" t="s">
        <v>112</v>
      </c>
      <c r="H41" s="31">
        <v>30000</v>
      </c>
      <c r="I41">
        <v>9000</v>
      </c>
      <c r="K41" t="s">
        <v>113</v>
      </c>
    </row>
    <row r="42" spans="2:11" x14ac:dyDescent="0.3">
      <c r="B42">
        <v>37</v>
      </c>
      <c r="C42" s="2" t="s">
        <v>114</v>
      </c>
      <c r="D42" t="s">
        <v>115</v>
      </c>
      <c r="E42" t="s">
        <v>112</v>
      </c>
      <c r="H42" s="31">
        <v>30000</v>
      </c>
      <c r="K42" t="s">
        <v>116</v>
      </c>
    </row>
    <row r="43" spans="2:11" x14ac:dyDescent="0.3">
      <c r="B43">
        <v>38</v>
      </c>
      <c r="C43" s="2" t="s">
        <v>118</v>
      </c>
      <c r="D43" t="s">
        <v>119</v>
      </c>
      <c r="E43" t="s">
        <v>112</v>
      </c>
      <c r="H43" s="31">
        <v>170000</v>
      </c>
      <c r="K43" t="s">
        <v>224</v>
      </c>
    </row>
    <row r="44" spans="2:11" x14ac:dyDescent="0.3">
      <c r="B44">
        <v>39</v>
      </c>
      <c r="C44" s="2" t="s">
        <v>122</v>
      </c>
      <c r="D44" t="s">
        <v>123</v>
      </c>
      <c r="E44" t="s">
        <v>46</v>
      </c>
      <c r="H44" s="31">
        <v>12000</v>
      </c>
      <c r="K44" t="s">
        <v>124</v>
      </c>
    </row>
    <row r="45" spans="2:11" x14ac:dyDescent="0.3">
      <c r="B45">
        <v>40</v>
      </c>
      <c r="C45" s="2" t="s">
        <v>125</v>
      </c>
      <c r="D45" t="s">
        <v>126</v>
      </c>
      <c r="E45" t="s">
        <v>39</v>
      </c>
      <c r="H45" s="31">
        <v>35000</v>
      </c>
      <c r="K45" t="s">
        <v>127</v>
      </c>
    </row>
    <row r="46" spans="2:11" x14ac:dyDescent="0.3">
      <c r="B46">
        <v>41</v>
      </c>
      <c r="C46" s="2" t="s">
        <v>129</v>
      </c>
      <c r="D46" t="s">
        <v>130</v>
      </c>
      <c r="E46" t="s">
        <v>131</v>
      </c>
      <c r="H46" s="31">
        <v>12000</v>
      </c>
      <c r="K46" t="s">
        <v>132</v>
      </c>
    </row>
    <row r="47" spans="2:11" x14ac:dyDescent="0.3">
      <c r="B47">
        <v>42</v>
      </c>
      <c r="C47" s="2" t="s">
        <v>133</v>
      </c>
      <c r="D47" t="s">
        <v>134</v>
      </c>
      <c r="E47" t="s">
        <v>12</v>
      </c>
      <c r="H47" s="31">
        <v>37000</v>
      </c>
      <c r="K47" t="s">
        <v>141</v>
      </c>
    </row>
    <row r="48" spans="2:11" x14ac:dyDescent="0.3">
      <c r="B48">
        <v>43</v>
      </c>
      <c r="C48" s="2" t="s">
        <v>137</v>
      </c>
      <c r="D48" t="s">
        <v>138</v>
      </c>
      <c r="E48" t="s">
        <v>12</v>
      </c>
      <c r="H48" s="31">
        <v>12000</v>
      </c>
      <c r="K48" t="s">
        <v>139</v>
      </c>
    </row>
    <row r="49" spans="2:11" x14ac:dyDescent="0.3">
      <c r="B49">
        <v>44</v>
      </c>
      <c r="C49" s="2" t="s">
        <v>10</v>
      </c>
      <c r="D49" t="s">
        <v>11</v>
      </c>
      <c r="E49" t="s">
        <v>12</v>
      </c>
      <c r="H49" s="31">
        <v>12800</v>
      </c>
      <c r="K49" t="s">
        <v>140</v>
      </c>
    </row>
    <row r="50" spans="2:11" x14ac:dyDescent="0.3">
      <c r="B50" s="19">
        <v>45</v>
      </c>
      <c r="C50" s="2" t="s">
        <v>1167</v>
      </c>
      <c r="D50" t="s">
        <v>142</v>
      </c>
      <c r="E50" t="s">
        <v>143</v>
      </c>
      <c r="F50" s="20" t="s">
        <v>174</v>
      </c>
      <c r="G50">
        <f>550000+6000+30000+104000</f>
        <v>690000</v>
      </c>
      <c r="H50" s="31">
        <f>50000+50000</f>
        <v>100000</v>
      </c>
      <c r="I50">
        <f>G50-H50</f>
        <v>590000</v>
      </c>
      <c r="K50" t="s">
        <v>144</v>
      </c>
    </row>
    <row r="51" spans="2:11" x14ac:dyDescent="0.3">
      <c r="H51" s="8"/>
      <c r="K51" t="s">
        <v>157</v>
      </c>
    </row>
    <row r="52" spans="2:11" x14ac:dyDescent="0.3">
      <c r="H52" s="8"/>
      <c r="K52" t="s">
        <v>145</v>
      </c>
    </row>
    <row r="53" spans="2:11" x14ac:dyDescent="0.3">
      <c r="H53" s="8"/>
      <c r="K53" t="s">
        <v>146</v>
      </c>
    </row>
    <row r="54" spans="2:11" x14ac:dyDescent="0.3">
      <c r="H54" s="8"/>
      <c r="K54" t="s">
        <v>147</v>
      </c>
    </row>
    <row r="55" spans="2:11" x14ac:dyDescent="0.3">
      <c r="H55" s="8"/>
      <c r="K55" t="s">
        <v>148</v>
      </c>
    </row>
    <row r="56" spans="2:11" x14ac:dyDescent="0.3">
      <c r="H56" s="8"/>
      <c r="K56" t="s">
        <v>149</v>
      </c>
    </row>
    <row r="57" spans="2:11" x14ac:dyDescent="0.3">
      <c r="H57" s="8"/>
      <c r="K57" t="s">
        <v>150</v>
      </c>
    </row>
    <row r="58" spans="2:11" x14ac:dyDescent="0.3">
      <c r="H58" s="8"/>
      <c r="K58" s="3" t="s">
        <v>151</v>
      </c>
    </row>
    <row r="59" spans="2:11" x14ac:dyDescent="0.3">
      <c r="H59" s="8"/>
      <c r="K59" t="s">
        <v>152</v>
      </c>
    </row>
    <row r="60" spans="2:11" x14ac:dyDescent="0.3">
      <c r="H60" s="8"/>
      <c r="K60" t="s">
        <v>153</v>
      </c>
    </row>
    <row r="61" spans="2:11" x14ac:dyDescent="0.3">
      <c r="H61" s="8"/>
      <c r="K61" t="s">
        <v>154</v>
      </c>
    </row>
    <row r="62" spans="2:11" x14ac:dyDescent="0.3">
      <c r="H62" s="8"/>
      <c r="K62" t="s">
        <v>177</v>
      </c>
    </row>
    <row r="63" spans="2:11" x14ac:dyDescent="0.3">
      <c r="B63">
        <v>46</v>
      </c>
      <c r="C63" s="14" t="s">
        <v>155</v>
      </c>
      <c r="D63" t="s">
        <v>26</v>
      </c>
      <c r="E63" t="s">
        <v>12</v>
      </c>
      <c r="H63" s="36">
        <v>13200</v>
      </c>
      <c r="K63" t="s">
        <v>156</v>
      </c>
    </row>
    <row r="64" spans="2:11" x14ac:dyDescent="0.3">
      <c r="B64">
        <v>47</v>
      </c>
      <c r="C64" s="2" t="s">
        <v>158</v>
      </c>
      <c r="D64" t="s">
        <v>160</v>
      </c>
      <c r="E64" t="s">
        <v>12</v>
      </c>
      <c r="H64" s="37">
        <v>4000</v>
      </c>
      <c r="K64" t="s">
        <v>159</v>
      </c>
    </row>
    <row r="65" spans="2:11" x14ac:dyDescent="0.3">
      <c r="B65">
        <v>48</v>
      </c>
      <c r="C65" s="14" t="s">
        <v>20</v>
      </c>
      <c r="D65" t="s">
        <v>119</v>
      </c>
      <c r="E65" t="s">
        <v>22</v>
      </c>
      <c r="G65">
        <f>25000+12000+7000</f>
        <v>44000</v>
      </c>
      <c r="H65" s="33">
        <v>25000</v>
      </c>
      <c r="I65">
        <f>G65-H65</f>
        <v>19000</v>
      </c>
      <c r="K65" t="s">
        <v>161</v>
      </c>
    </row>
    <row r="66" spans="2:11" x14ac:dyDescent="0.3">
      <c r="B66" s="19">
        <v>49</v>
      </c>
      <c r="C66" s="19" t="s">
        <v>91</v>
      </c>
      <c r="D66" s="19" t="s">
        <v>164</v>
      </c>
      <c r="E66" s="19" t="s">
        <v>165</v>
      </c>
      <c r="F66" s="19"/>
      <c r="G66" s="19">
        <f>20000+7000</f>
        <v>27000</v>
      </c>
      <c r="H66" s="22">
        <v>0</v>
      </c>
      <c r="I66" s="19">
        <f>G66-H66</f>
        <v>27000</v>
      </c>
      <c r="J66" s="19"/>
      <c r="K66" s="19" t="s">
        <v>166</v>
      </c>
    </row>
    <row r="67" spans="2:11" x14ac:dyDescent="0.3">
      <c r="B67">
        <v>50</v>
      </c>
      <c r="C67" s="14" t="s">
        <v>167</v>
      </c>
      <c r="D67" t="s">
        <v>183</v>
      </c>
      <c r="E67" t="s">
        <v>12</v>
      </c>
      <c r="F67" s="6" t="s">
        <v>168</v>
      </c>
      <c r="G67">
        <f>(15000+3000+4200)-4950</f>
        <v>17250</v>
      </c>
      <c r="H67" s="33">
        <f>10000+4000</f>
        <v>14000</v>
      </c>
      <c r="I67">
        <f>G67-H67</f>
        <v>3250</v>
      </c>
      <c r="K67" t="s">
        <v>194</v>
      </c>
    </row>
    <row r="68" spans="2:11" x14ac:dyDescent="0.3">
      <c r="B68">
        <v>51</v>
      </c>
      <c r="C68" s="14" t="s">
        <v>170</v>
      </c>
      <c r="D68" t="s">
        <v>160</v>
      </c>
      <c r="E68" t="s">
        <v>12</v>
      </c>
      <c r="H68" s="33">
        <v>4000</v>
      </c>
      <c r="I68">
        <v>5000</v>
      </c>
      <c r="K68" t="s">
        <v>171</v>
      </c>
    </row>
    <row r="69" spans="2:11" x14ac:dyDescent="0.3">
      <c r="B69">
        <v>52</v>
      </c>
      <c r="C69" s="14" t="s">
        <v>175</v>
      </c>
      <c r="D69" t="s">
        <v>103</v>
      </c>
      <c r="E69" t="s">
        <v>46</v>
      </c>
      <c r="F69" s="6" t="s">
        <v>178</v>
      </c>
      <c r="H69" s="33">
        <v>6000</v>
      </c>
      <c r="K69" t="s">
        <v>176</v>
      </c>
    </row>
    <row r="70" spans="2:11" x14ac:dyDescent="0.3">
      <c r="B70">
        <v>53</v>
      </c>
      <c r="C70" s="14" t="s">
        <v>179</v>
      </c>
      <c r="D70" t="s">
        <v>164</v>
      </c>
      <c r="E70" t="s">
        <v>60</v>
      </c>
      <c r="H70" s="33">
        <v>6000</v>
      </c>
      <c r="K70" t="s">
        <v>180</v>
      </c>
    </row>
    <row r="71" spans="2:11" x14ac:dyDescent="0.3">
      <c r="B71">
        <v>54</v>
      </c>
      <c r="C71" s="14" t="s">
        <v>179</v>
      </c>
      <c r="D71" t="s">
        <v>181</v>
      </c>
      <c r="E71" t="s">
        <v>60</v>
      </c>
      <c r="H71" s="33">
        <v>6000</v>
      </c>
      <c r="K71" t="s">
        <v>182</v>
      </c>
    </row>
    <row r="72" spans="2:11" x14ac:dyDescent="0.3">
      <c r="B72">
        <v>55</v>
      </c>
      <c r="C72" s="14" t="s">
        <v>184</v>
      </c>
      <c r="D72" t="s">
        <v>185</v>
      </c>
      <c r="E72" t="s">
        <v>12</v>
      </c>
      <c r="G72">
        <f>200000+42000</f>
        <v>242000</v>
      </c>
      <c r="H72" s="33">
        <v>200000</v>
      </c>
      <c r="I72">
        <f>G72-H72</f>
        <v>42000</v>
      </c>
      <c r="K72" t="s">
        <v>186</v>
      </c>
    </row>
    <row r="73" spans="2:11" x14ac:dyDescent="0.3">
      <c r="C73" s="14"/>
      <c r="H73" s="8"/>
      <c r="K73" t="s">
        <v>284</v>
      </c>
    </row>
    <row r="74" spans="2:11" x14ac:dyDescent="0.3">
      <c r="B74">
        <v>56</v>
      </c>
      <c r="C74" s="14" t="s">
        <v>188</v>
      </c>
      <c r="D74" t="s">
        <v>189</v>
      </c>
      <c r="E74" t="s">
        <v>12</v>
      </c>
      <c r="H74" s="33">
        <v>10000</v>
      </c>
      <c r="K74" t="s">
        <v>190</v>
      </c>
    </row>
    <row r="75" spans="2:11" x14ac:dyDescent="0.3">
      <c r="B75">
        <v>57</v>
      </c>
      <c r="C75" s="14" t="s">
        <v>191</v>
      </c>
      <c r="D75" t="s">
        <v>192</v>
      </c>
      <c r="E75" t="s">
        <v>12</v>
      </c>
      <c r="H75" s="33">
        <v>6000</v>
      </c>
      <c r="K75" t="s">
        <v>193</v>
      </c>
    </row>
    <row r="76" spans="2:11" x14ac:dyDescent="0.3">
      <c r="B76">
        <v>58</v>
      </c>
      <c r="C76" s="14" t="s">
        <v>195</v>
      </c>
      <c r="H76" s="33">
        <v>6000</v>
      </c>
      <c r="K76" t="s">
        <v>348</v>
      </c>
    </row>
    <row r="77" spans="2:11" x14ac:dyDescent="0.3">
      <c r="B77">
        <v>59</v>
      </c>
      <c r="C77" s="14" t="s">
        <v>196</v>
      </c>
      <c r="D77" t="s">
        <v>197</v>
      </c>
      <c r="E77" t="s">
        <v>46</v>
      </c>
      <c r="H77" s="33">
        <v>5000</v>
      </c>
      <c r="K77" t="s">
        <v>198</v>
      </c>
    </row>
    <row r="78" spans="2:11" x14ac:dyDescent="0.3">
      <c r="C78" s="122" t="s">
        <v>199</v>
      </c>
      <c r="D78" s="122"/>
      <c r="E78" s="122"/>
      <c r="F78" s="122"/>
      <c r="H78" s="8"/>
    </row>
    <row r="79" spans="2:11" x14ac:dyDescent="0.3">
      <c r="B79">
        <v>60</v>
      </c>
      <c r="C79" s="21" t="s">
        <v>200</v>
      </c>
      <c r="D79" t="s">
        <v>201</v>
      </c>
      <c r="E79" t="s">
        <v>202</v>
      </c>
      <c r="F79" s="6" t="s">
        <v>203</v>
      </c>
      <c r="G79">
        <v>28000</v>
      </c>
      <c r="H79" s="33">
        <f>28000-5000+2000</f>
        <v>25000</v>
      </c>
      <c r="K79" t="s">
        <v>213</v>
      </c>
    </row>
    <row r="80" spans="2:11" x14ac:dyDescent="0.3">
      <c r="B80">
        <v>61</v>
      </c>
      <c r="C80" s="21" t="s">
        <v>204</v>
      </c>
      <c r="D80" t="s">
        <v>205</v>
      </c>
      <c r="H80" s="33">
        <v>40000</v>
      </c>
      <c r="K80" t="s">
        <v>206</v>
      </c>
    </row>
    <row r="81" spans="2:11" x14ac:dyDescent="0.3">
      <c r="B81">
        <v>62</v>
      </c>
      <c r="C81" s="21" t="s">
        <v>207</v>
      </c>
      <c r="D81" t="s">
        <v>119</v>
      </c>
      <c r="E81" t="s">
        <v>7</v>
      </c>
      <c r="F81" s="6" t="s">
        <v>208</v>
      </c>
      <c r="H81" s="33">
        <v>6000</v>
      </c>
      <c r="K81" s="6" t="s">
        <v>209</v>
      </c>
    </row>
    <row r="82" spans="2:11" x14ac:dyDescent="0.3">
      <c r="B82">
        <v>63</v>
      </c>
      <c r="C82" s="2" t="s">
        <v>84</v>
      </c>
      <c r="D82" t="s">
        <v>210</v>
      </c>
      <c r="E82" t="s">
        <v>12</v>
      </c>
      <c r="F82" s="6" t="s">
        <v>211</v>
      </c>
      <c r="H82" s="33">
        <v>4200</v>
      </c>
      <c r="K82" t="s">
        <v>212</v>
      </c>
    </row>
    <row r="83" spans="2:11" x14ac:dyDescent="0.3">
      <c r="B83">
        <v>64</v>
      </c>
      <c r="C83" s="21" t="s">
        <v>214</v>
      </c>
      <c r="D83" t="s">
        <v>24</v>
      </c>
      <c r="E83" t="s">
        <v>12</v>
      </c>
      <c r="F83" s="6" t="s">
        <v>215</v>
      </c>
      <c r="H83" s="33">
        <v>6000</v>
      </c>
      <c r="K83" t="s">
        <v>216</v>
      </c>
    </row>
    <row r="84" spans="2:11" x14ac:dyDescent="0.3">
      <c r="B84">
        <v>65</v>
      </c>
      <c r="C84" s="21" t="s">
        <v>217</v>
      </c>
      <c r="D84" t="s">
        <v>18</v>
      </c>
      <c r="E84" t="s">
        <v>12</v>
      </c>
      <c r="F84" s="6" t="s">
        <v>218</v>
      </c>
      <c r="H84" s="33">
        <v>15000</v>
      </c>
      <c r="K84" t="s">
        <v>219</v>
      </c>
    </row>
    <row r="85" spans="2:11" x14ac:dyDescent="0.3">
      <c r="B85">
        <v>66</v>
      </c>
      <c r="C85" s="21" t="s">
        <v>220</v>
      </c>
      <c r="D85" t="s">
        <v>221</v>
      </c>
      <c r="E85" t="s">
        <v>51</v>
      </c>
      <c r="F85" s="6" t="s">
        <v>218</v>
      </c>
      <c r="H85" s="33">
        <v>12000</v>
      </c>
      <c r="K85" t="s">
        <v>219</v>
      </c>
    </row>
    <row r="86" spans="2:11" x14ac:dyDescent="0.3">
      <c r="B86">
        <v>67</v>
      </c>
      <c r="C86" s="21" t="s">
        <v>222</v>
      </c>
      <c r="D86" t="s">
        <v>160</v>
      </c>
      <c r="E86" t="s">
        <v>12</v>
      </c>
      <c r="F86" s="6" t="s">
        <v>223</v>
      </c>
      <c r="H86" s="33">
        <v>15000</v>
      </c>
      <c r="K86" t="s">
        <v>334</v>
      </c>
    </row>
    <row r="87" spans="2:11" x14ac:dyDescent="0.3">
      <c r="B87">
        <v>68</v>
      </c>
      <c r="C87" s="21" t="s">
        <v>30</v>
      </c>
      <c r="D87" t="s">
        <v>31</v>
      </c>
      <c r="E87" t="s">
        <v>32</v>
      </c>
      <c r="F87" s="6" t="s">
        <v>225</v>
      </c>
      <c r="H87" s="33">
        <v>9000</v>
      </c>
      <c r="K87" t="s">
        <v>226</v>
      </c>
    </row>
    <row r="88" spans="2:11" x14ac:dyDescent="0.3">
      <c r="B88">
        <v>69</v>
      </c>
      <c r="C88" s="21" t="s">
        <v>227</v>
      </c>
      <c r="D88" t="s">
        <v>14</v>
      </c>
      <c r="E88" t="s">
        <v>12</v>
      </c>
      <c r="F88" s="6" t="s">
        <v>228</v>
      </c>
      <c r="H88" s="33">
        <v>20000</v>
      </c>
      <c r="K88" t="s">
        <v>229</v>
      </c>
    </row>
    <row r="89" spans="2:11" x14ac:dyDescent="0.3">
      <c r="B89">
        <v>70</v>
      </c>
      <c r="C89" s="21" t="s">
        <v>230</v>
      </c>
      <c r="D89" t="s">
        <v>231</v>
      </c>
      <c r="E89" t="s">
        <v>12</v>
      </c>
      <c r="F89" s="6" t="s">
        <v>232</v>
      </c>
      <c r="H89" s="33">
        <v>3000</v>
      </c>
      <c r="K89" t="s">
        <v>233</v>
      </c>
    </row>
    <row r="90" spans="2:11" x14ac:dyDescent="0.3">
      <c r="B90">
        <v>71</v>
      </c>
      <c r="C90" s="21" t="s">
        <v>235</v>
      </c>
      <c r="D90" t="s">
        <v>237</v>
      </c>
      <c r="E90" t="s">
        <v>238</v>
      </c>
      <c r="F90" s="6" t="s">
        <v>236</v>
      </c>
      <c r="G90">
        <v>20000</v>
      </c>
      <c r="H90" s="33">
        <f>5000+9000</f>
        <v>14000</v>
      </c>
      <c r="I90">
        <f>G90-H90</f>
        <v>6000</v>
      </c>
      <c r="K90" t="s">
        <v>306</v>
      </c>
    </row>
    <row r="91" spans="2:11" x14ac:dyDescent="0.3">
      <c r="B91">
        <v>72</v>
      </c>
      <c r="C91" s="21" t="s">
        <v>239</v>
      </c>
      <c r="H91" s="33">
        <v>2500</v>
      </c>
    </row>
    <row r="92" spans="2:11" x14ac:dyDescent="0.3">
      <c r="B92">
        <v>73</v>
      </c>
      <c r="C92" s="21" t="s">
        <v>240</v>
      </c>
      <c r="D92" t="s">
        <v>119</v>
      </c>
      <c r="E92" t="s">
        <v>245</v>
      </c>
      <c r="F92" s="6" t="s">
        <v>241</v>
      </c>
      <c r="H92" s="33">
        <v>20500</v>
      </c>
      <c r="K92" t="s">
        <v>242</v>
      </c>
    </row>
    <row r="93" spans="2:11" x14ac:dyDescent="0.3">
      <c r="B93">
        <v>74</v>
      </c>
      <c r="C93" s="21" t="s">
        <v>243</v>
      </c>
      <c r="D93" t="s">
        <v>244</v>
      </c>
      <c r="E93" t="s">
        <v>12</v>
      </c>
      <c r="F93" s="6" t="s">
        <v>246</v>
      </c>
      <c r="H93" s="33">
        <v>8400</v>
      </c>
      <c r="K93" t="s">
        <v>254</v>
      </c>
    </row>
    <row r="94" spans="2:11" x14ac:dyDescent="0.3">
      <c r="B94">
        <v>75</v>
      </c>
      <c r="C94" s="21" t="s">
        <v>248</v>
      </c>
      <c r="D94" t="s">
        <v>249</v>
      </c>
      <c r="E94" t="s">
        <v>12</v>
      </c>
      <c r="F94" s="6" t="s">
        <v>247</v>
      </c>
      <c r="H94" s="33">
        <v>65000</v>
      </c>
      <c r="K94" t="s">
        <v>250</v>
      </c>
    </row>
    <row r="95" spans="2:11" x14ac:dyDescent="0.3">
      <c r="B95">
        <v>76</v>
      </c>
      <c r="C95" s="21" t="s">
        <v>252</v>
      </c>
      <c r="D95" t="s">
        <v>11</v>
      </c>
      <c r="E95" t="s">
        <v>12</v>
      </c>
      <c r="F95" s="6" t="s">
        <v>251</v>
      </c>
      <c r="G95">
        <v>382000</v>
      </c>
      <c r="H95" s="33">
        <f>100000+100000+100000+50000+20000+12000</f>
        <v>382000</v>
      </c>
      <c r="I95">
        <f>G95-H95</f>
        <v>0</v>
      </c>
      <c r="K95" t="s">
        <v>253</v>
      </c>
    </row>
    <row r="96" spans="2:11" x14ac:dyDescent="0.3">
      <c r="H96" s="8"/>
      <c r="K96" s="6" t="s">
        <v>582</v>
      </c>
    </row>
    <row r="97" spans="2:11" x14ac:dyDescent="0.3">
      <c r="B97">
        <v>76</v>
      </c>
      <c r="C97" s="21" t="s">
        <v>324</v>
      </c>
      <c r="D97" t="s">
        <v>164</v>
      </c>
      <c r="E97" t="s">
        <v>325</v>
      </c>
      <c r="H97" s="33">
        <v>50000</v>
      </c>
      <c r="K97" t="s">
        <v>326</v>
      </c>
    </row>
    <row r="98" spans="2:11" x14ac:dyDescent="0.3">
      <c r="B98">
        <v>77</v>
      </c>
      <c r="C98" s="21" t="s">
        <v>248</v>
      </c>
      <c r="D98" t="s">
        <v>249</v>
      </c>
      <c r="F98" s="6" t="s">
        <v>255</v>
      </c>
      <c r="H98" s="33">
        <v>14500</v>
      </c>
      <c r="K98" t="s">
        <v>256</v>
      </c>
    </row>
    <row r="99" spans="2:11" x14ac:dyDescent="0.3">
      <c r="B99">
        <v>78</v>
      </c>
      <c r="C99" s="21" t="s">
        <v>239</v>
      </c>
      <c r="F99" s="6" t="s">
        <v>257</v>
      </c>
      <c r="H99" s="33">
        <f>7600+1500+1500</f>
        <v>10600</v>
      </c>
      <c r="K99" t="s">
        <v>300</v>
      </c>
    </row>
    <row r="100" spans="2:11" x14ac:dyDescent="0.3">
      <c r="B100">
        <v>79</v>
      </c>
      <c r="C100" s="21" t="s">
        <v>258</v>
      </c>
      <c r="D100" t="s">
        <v>160</v>
      </c>
      <c r="F100" s="6" t="s">
        <v>259</v>
      </c>
      <c r="H100" s="33">
        <v>3100</v>
      </c>
      <c r="K100" t="s">
        <v>260</v>
      </c>
    </row>
    <row r="101" spans="2:11" x14ac:dyDescent="0.3">
      <c r="B101">
        <v>80</v>
      </c>
      <c r="C101" s="21" t="s">
        <v>261</v>
      </c>
      <c r="D101" t="s">
        <v>160</v>
      </c>
      <c r="F101" s="6" t="s">
        <v>262</v>
      </c>
      <c r="G101">
        <v>10000</v>
      </c>
      <c r="H101" s="33">
        <v>9000</v>
      </c>
      <c r="K101" t="s">
        <v>278</v>
      </c>
    </row>
    <row r="102" spans="2:11" x14ac:dyDescent="0.3">
      <c r="B102">
        <v>81</v>
      </c>
      <c r="C102" s="21" t="s">
        <v>263</v>
      </c>
      <c r="D102" t="s">
        <v>264</v>
      </c>
      <c r="E102" t="s">
        <v>265</v>
      </c>
      <c r="F102" s="6" t="s">
        <v>266</v>
      </c>
      <c r="H102" s="33">
        <v>26000</v>
      </c>
      <c r="K102" t="s">
        <v>286</v>
      </c>
    </row>
    <row r="103" spans="2:11" x14ac:dyDescent="0.3">
      <c r="B103">
        <v>82</v>
      </c>
      <c r="C103" s="21" t="s">
        <v>279</v>
      </c>
      <c r="D103" t="s">
        <v>160</v>
      </c>
      <c r="F103" s="6" t="s">
        <v>280</v>
      </c>
      <c r="H103" s="33">
        <v>4000</v>
      </c>
    </row>
    <row r="104" spans="2:11" x14ac:dyDescent="0.3">
      <c r="B104">
        <v>83</v>
      </c>
      <c r="C104" s="21" t="s">
        <v>281</v>
      </c>
      <c r="D104" t="s">
        <v>282</v>
      </c>
      <c r="E104" t="s">
        <v>12</v>
      </c>
      <c r="F104" s="6" t="s">
        <v>283</v>
      </c>
      <c r="H104" s="33">
        <v>30000</v>
      </c>
      <c r="K104" t="s">
        <v>285</v>
      </c>
    </row>
    <row r="105" spans="2:11" x14ac:dyDescent="0.3">
      <c r="B105">
        <v>84</v>
      </c>
      <c r="C105" s="21" t="s">
        <v>287</v>
      </c>
      <c r="D105" t="s">
        <v>288</v>
      </c>
      <c r="E105" t="s">
        <v>131</v>
      </c>
      <c r="F105" s="6" t="s">
        <v>289</v>
      </c>
      <c r="G105">
        <v>37000</v>
      </c>
      <c r="H105" s="33">
        <f>5000+20000+12000</f>
        <v>37000</v>
      </c>
      <c r="I105">
        <f>G105-H105</f>
        <v>0</v>
      </c>
      <c r="K105" t="s">
        <v>433</v>
      </c>
    </row>
    <row r="106" spans="2:11" x14ac:dyDescent="0.3">
      <c r="B106">
        <v>85</v>
      </c>
      <c r="C106" s="21" t="s">
        <v>200</v>
      </c>
      <c r="E106" t="s">
        <v>307</v>
      </c>
      <c r="F106" s="6" t="s">
        <v>308</v>
      </c>
      <c r="G106">
        <v>3500</v>
      </c>
      <c r="H106" s="33">
        <f>3000+500</f>
        <v>3500</v>
      </c>
      <c r="I106">
        <f>G106-H106</f>
        <v>0</v>
      </c>
      <c r="K106" t="s">
        <v>309</v>
      </c>
    </row>
    <row r="107" spans="2:11" x14ac:dyDescent="0.3">
      <c r="B107">
        <v>86</v>
      </c>
      <c r="C107" s="21" t="s">
        <v>310</v>
      </c>
      <c r="D107" t="s">
        <v>311</v>
      </c>
      <c r="E107" t="s">
        <v>131</v>
      </c>
      <c r="F107" s="6" t="s">
        <v>280</v>
      </c>
      <c r="G107">
        <v>94000</v>
      </c>
      <c r="H107" s="33">
        <f>50000+44000</f>
        <v>94000</v>
      </c>
      <c r="I107">
        <f>G107-H107</f>
        <v>0</v>
      </c>
      <c r="K107" t="s">
        <v>319</v>
      </c>
    </row>
    <row r="108" spans="2:11" x14ac:dyDescent="0.3">
      <c r="B108">
        <v>87</v>
      </c>
      <c r="C108" s="21" t="s">
        <v>10</v>
      </c>
      <c r="D108" t="s">
        <v>11</v>
      </c>
      <c r="E108" t="s">
        <v>12</v>
      </c>
      <c r="F108" s="6" t="s">
        <v>317</v>
      </c>
      <c r="G108">
        <f>1500*3*12</f>
        <v>54000</v>
      </c>
      <c r="H108" s="33">
        <v>54000</v>
      </c>
      <c r="I108">
        <f>G108-H108</f>
        <v>0</v>
      </c>
      <c r="K108" t="s">
        <v>372</v>
      </c>
    </row>
    <row r="109" spans="2:11" x14ac:dyDescent="0.3">
      <c r="B109">
        <v>88</v>
      </c>
      <c r="C109" s="21" t="s">
        <v>320</v>
      </c>
      <c r="D109" t="s">
        <v>11</v>
      </c>
      <c r="E109" t="s">
        <v>12</v>
      </c>
      <c r="F109" s="6" t="s">
        <v>317</v>
      </c>
      <c r="G109">
        <v>12000</v>
      </c>
      <c r="H109" s="33">
        <v>12000</v>
      </c>
      <c r="I109">
        <f>G109-H109</f>
        <v>0</v>
      </c>
      <c r="K109" t="s">
        <v>371</v>
      </c>
    </row>
    <row r="110" spans="2:11" x14ac:dyDescent="0.3">
      <c r="B110">
        <v>89</v>
      </c>
      <c r="C110" s="21" t="s">
        <v>17</v>
      </c>
      <c r="D110" t="s">
        <v>18</v>
      </c>
      <c r="E110" t="s">
        <v>12</v>
      </c>
      <c r="F110" s="6" t="s">
        <v>322</v>
      </c>
      <c r="H110" s="33">
        <v>12000</v>
      </c>
      <c r="K110" t="s">
        <v>321</v>
      </c>
    </row>
    <row r="111" spans="2:11" x14ac:dyDescent="0.3">
      <c r="B111">
        <v>91</v>
      </c>
      <c r="C111" s="21" t="s">
        <v>27</v>
      </c>
      <c r="D111" t="s">
        <v>28</v>
      </c>
      <c r="E111" t="s">
        <v>12</v>
      </c>
      <c r="F111" s="6" t="s">
        <v>323</v>
      </c>
      <c r="H111" s="33">
        <v>152460</v>
      </c>
      <c r="K111" t="s">
        <v>321</v>
      </c>
    </row>
    <row r="112" spans="2:11" x14ac:dyDescent="0.3">
      <c r="B112">
        <v>92</v>
      </c>
      <c r="C112" s="21" t="s">
        <v>9</v>
      </c>
      <c r="D112" t="s">
        <v>14</v>
      </c>
      <c r="E112" t="s">
        <v>12</v>
      </c>
      <c r="F112" s="6" t="s">
        <v>327</v>
      </c>
      <c r="G112">
        <v>108000</v>
      </c>
      <c r="H112" s="33">
        <v>108000</v>
      </c>
      <c r="I112">
        <f>G112-H112</f>
        <v>0</v>
      </c>
      <c r="K112" t="s">
        <v>328</v>
      </c>
    </row>
    <row r="113" spans="2:11" x14ac:dyDescent="0.3">
      <c r="F113" s="123" t="s">
        <v>459</v>
      </c>
      <c r="G113" s="123"/>
      <c r="H113" s="30">
        <f>SUM(H2:H112)</f>
        <v>3506860</v>
      </c>
      <c r="K113" t="s">
        <v>408</v>
      </c>
    </row>
    <row r="114" spans="2:11" x14ac:dyDescent="0.3">
      <c r="B114">
        <v>1</v>
      </c>
      <c r="C114" s="2" t="s">
        <v>20</v>
      </c>
      <c r="D114" t="s">
        <v>330</v>
      </c>
      <c r="E114" t="s">
        <v>22</v>
      </c>
      <c r="F114" s="6" t="s">
        <v>329</v>
      </c>
      <c r="G114">
        <v>6000</v>
      </c>
      <c r="H114" s="33">
        <v>6000</v>
      </c>
      <c r="I114">
        <f t="shared" ref="I114:I140" si="0">G114-H114</f>
        <v>0</v>
      </c>
      <c r="K114" t="s">
        <v>336</v>
      </c>
    </row>
    <row r="115" spans="2:11" x14ac:dyDescent="0.3">
      <c r="B115">
        <v>2</v>
      </c>
      <c r="C115" s="2" t="s">
        <v>20</v>
      </c>
      <c r="D115" t="s">
        <v>331</v>
      </c>
      <c r="E115" t="s">
        <v>22</v>
      </c>
      <c r="F115" s="6" t="s">
        <v>329</v>
      </c>
      <c r="G115">
        <v>19000</v>
      </c>
      <c r="H115" s="8"/>
      <c r="I115">
        <f t="shared" si="0"/>
        <v>19000</v>
      </c>
      <c r="K115" t="s">
        <v>321</v>
      </c>
    </row>
    <row r="116" spans="2:11" x14ac:dyDescent="0.3">
      <c r="B116">
        <v>3</v>
      </c>
      <c r="C116" s="2" t="s">
        <v>23</v>
      </c>
      <c r="D116" t="s">
        <v>24</v>
      </c>
      <c r="E116" t="s">
        <v>12</v>
      </c>
      <c r="F116" s="6" t="s">
        <v>329</v>
      </c>
      <c r="G116">
        <v>165000</v>
      </c>
      <c r="H116" s="33">
        <v>165000</v>
      </c>
      <c r="I116">
        <f t="shared" si="0"/>
        <v>0</v>
      </c>
      <c r="K116" t="s">
        <v>386</v>
      </c>
    </row>
    <row r="117" spans="2:11" x14ac:dyDescent="0.3">
      <c r="B117">
        <v>4</v>
      </c>
      <c r="C117" s="2" t="s">
        <v>84</v>
      </c>
      <c r="D117" t="s">
        <v>210</v>
      </c>
      <c r="E117" t="s">
        <v>12</v>
      </c>
      <c r="F117" s="6" t="s">
        <v>329</v>
      </c>
      <c r="G117">
        <v>14400</v>
      </c>
      <c r="H117" s="36">
        <v>14400</v>
      </c>
      <c r="I117">
        <f t="shared" si="0"/>
        <v>0</v>
      </c>
      <c r="K117" t="s">
        <v>357</v>
      </c>
    </row>
    <row r="118" spans="2:11" x14ac:dyDescent="0.3">
      <c r="B118">
        <v>5</v>
      </c>
      <c r="C118" s="2" t="s">
        <v>195</v>
      </c>
      <c r="D118" t="s">
        <v>332</v>
      </c>
      <c r="E118" t="s">
        <v>51</v>
      </c>
      <c r="F118" s="6" t="s">
        <v>329</v>
      </c>
      <c r="G118">
        <v>6000</v>
      </c>
      <c r="H118" s="8">
        <v>6000</v>
      </c>
      <c r="I118">
        <f t="shared" si="0"/>
        <v>0</v>
      </c>
      <c r="K118" t="s">
        <v>321</v>
      </c>
    </row>
    <row r="119" spans="2:11" x14ac:dyDescent="0.3">
      <c r="B119">
        <v>6</v>
      </c>
      <c r="C119" s="2" t="s">
        <v>333</v>
      </c>
      <c r="D119" t="s">
        <v>18</v>
      </c>
      <c r="E119" t="s">
        <v>51</v>
      </c>
      <c r="F119" s="6" t="s">
        <v>329</v>
      </c>
      <c r="G119">
        <v>6000</v>
      </c>
      <c r="H119" s="38">
        <v>6000</v>
      </c>
      <c r="I119">
        <f t="shared" si="0"/>
        <v>0</v>
      </c>
      <c r="K119" t="s">
        <v>321</v>
      </c>
    </row>
    <row r="120" spans="2:11" x14ac:dyDescent="0.3">
      <c r="B120">
        <v>7</v>
      </c>
      <c r="C120" s="2"/>
      <c r="F120" s="6"/>
      <c r="H120" s="8">
        <v>0</v>
      </c>
      <c r="I120">
        <f t="shared" si="0"/>
        <v>0</v>
      </c>
    </row>
    <row r="121" spans="2:11" x14ac:dyDescent="0.3">
      <c r="B121">
        <v>8</v>
      </c>
      <c r="C121" s="2" t="s">
        <v>335</v>
      </c>
      <c r="D121" t="s">
        <v>164</v>
      </c>
      <c r="E121" t="s">
        <v>60</v>
      </c>
      <c r="F121" s="6" t="s">
        <v>329</v>
      </c>
      <c r="G121">
        <v>6000</v>
      </c>
      <c r="H121" s="36">
        <v>6000</v>
      </c>
      <c r="I121">
        <f t="shared" si="0"/>
        <v>0</v>
      </c>
      <c r="K121" t="s">
        <v>380</v>
      </c>
    </row>
    <row r="122" spans="2:11" x14ac:dyDescent="0.3">
      <c r="B122">
        <v>9</v>
      </c>
      <c r="C122" s="2" t="s">
        <v>37</v>
      </c>
      <c r="D122" t="s">
        <v>192</v>
      </c>
      <c r="E122" t="s">
        <v>39</v>
      </c>
      <c r="F122" s="6" t="s">
        <v>329</v>
      </c>
      <c r="G122">
        <v>6000</v>
      </c>
      <c r="H122" s="36">
        <v>6000</v>
      </c>
      <c r="I122">
        <f t="shared" si="0"/>
        <v>0</v>
      </c>
      <c r="K122" t="s">
        <v>342</v>
      </c>
    </row>
    <row r="123" spans="2:11" x14ac:dyDescent="0.3">
      <c r="B123">
        <v>10</v>
      </c>
      <c r="C123" s="2" t="s">
        <v>69</v>
      </c>
      <c r="D123" t="s">
        <v>5</v>
      </c>
      <c r="E123" t="s">
        <v>0</v>
      </c>
      <c r="F123" s="6" t="s">
        <v>368</v>
      </c>
      <c r="G123">
        <v>12000</v>
      </c>
      <c r="H123" s="36">
        <v>12000</v>
      </c>
      <c r="I123">
        <f t="shared" si="0"/>
        <v>0</v>
      </c>
      <c r="K123" t="s">
        <v>379</v>
      </c>
    </row>
    <row r="124" spans="2:11" x14ac:dyDescent="0.3">
      <c r="B124">
        <v>11</v>
      </c>
      <c r="C124" s="2" t="s">
        <v>337</v>
      </c>
      <c r="D124" t="s">
        <v>338</v>
      </c>
      <c r="E124" t="s">
        <v>339</v>
      </c>
      <c r="F124" s="6" t="s">
        <v>329</v>
      </c>
      <c r="G124">
        <v>12000</v>
      </c>
      <c r="H124" s="36">
        <v>12000</v>
      </c>
      <c r="I124">
        <f t="shared" si="0"/>
        <v>0</v>
      </c>
      <c r="K124" t="s">
        <v>392</v>
      </c>
    </row>
    <row r="125" spans="2:11" x14ac:dyDescent="0.3">
      <c r="B125">
        <v>12</v>
      </c>
      <c r="C125" s="2" t="s">
        <v>175</v>
      </c>
      <c r="D125" t="s">
        <v>52</v>
      </c>
      <c r="E125" t="s">
        <v>46</v>
      </c>
      <c r="F125" s="6" t="s">
        <v>329</v>
      </c>
      <c r="G125">
        <v>6000</v>
      </c>
      <c r="H125" s="36">
        <v>6000</v>
      </c>
      <c r="I125">
        <f t="shared" si="0"/>
        <v>0</v>
      </c>
      <c r="K125" t="s">
        <v>336</v>
      </c>
    </row>
    <row r="126" spans="2:11" x14ac:dyDescent="0.3">
      <c r="B126">
        <v>13</v>
      </c>
      <c r="C126" s="2" t="s">
        <v>281</v>
      </c>
      <c r="D126" t="s">
        <v>340</v>
      </c>
      <c r="E126" t="s">
        <v>12</v>
      </c>
      <c r="F126" s="6" t="s">
        <v>329</v>
      </c>
      <c r="G126">
        <v>6000</v>
      </c>
      <c r="H126" s="36">
        <v>6000</v>
      </c>
      <c r="I126">
        <f t="shared" si="0"/>
        <v>0</v>
      </c>
      <c r="K126" t="s">
        <v>381</v>
      </c>
    </row>
    <row r="127" spans="2:11" x14ac:dyDescent="0.3">
      <c r="B127">
        <v>14</v>
      </c>
      <c r="C127" s="2" t="s">
        <v>104</v>
      </c>
      <c r="D127" t="s">
        <v>105</v>
      </c>
      <c r="E127" t="s">
        <v>106</v>
      </c>
      <c r="F127" s="6" t="s">
        <v>329</v>
      </c>
      <c r="G127">
        <v>36000</v>
      </c>
      <c r="H127" s="36">
        <f>12000+12000+6000+6000</f>
        <v>36000</v>
      </c>
      <c r="I127">
        <f t="shared" si="0"/>
        <v>0</v>
      </c>
      <c r="K127" t="s">
        <v>637</v>
      </c>
    </row>
    <row r="128" spans="2:11" x14ac:dyDescent="0.3">
      <c r="B128">
        <v>15</v>
      </c>
      <c r="C128" s="2" t="s">
        <v>68</v>
      </c>
      <c r="D128" t="s">
        <v>16</v>
      </c>
      <c r="E128" t="s">
        <v>15</v>
      </c>
      <c r="F128" s="6" t="s">
        <v>329</v>
      </c>
      <c r="G128">
        <v>12000</v>
      </c>
      <c r="H128" s="36">
        <v>12000</v>
      </c>
      <c r="I128">
        <f t="shared" si="0"/>
        <v>0</v>
      </c>
      <c r="K128" t="s">
        <v>351</v>
      </c>
    </row>
    <row r="129" spans="2:11" x14ac:dyDescent="0.3">
      <c r="B129">
        <v>16</v>
      </c>
      <c r="C129" s="2" t="s">
        <v>341</v>
      </c>
      <c r="D129" t="s">
        <v>92</v>
      </c>
      <c r="E129" t="s">
        <v>12</v>
      </c>
      <c r="F129" s="6" t="s">
        <v>329</v>
      </c>
      <c r="G129">
        <v>12000</v>
      </c>
      <c r="H129" s="36">
        <v>12000</v>
      </c>
      <c r="I129">
        <f t="shared" si="0"/>
        <v>0</v>
      </c>
      <c r="K129" t="s">
        <v>387</v>
      </c>
    </row>
    <row r="130" spans="2:11" x14ac:dyDescent="0.3">
      <c r="B130">
        <v>17</v>
      </c>
      <c r="C130" s="2" t="s">
        <v>49</v>
      </c>
      <c r="D130" t="s">
        <v>359</v>
      </c>
      <c r="E130" t="s">
        <v>51</v>
      </c>
      <c r="F130" s="6" t="s">
        <v>343</v>
      </c>
      <c r="G130">
        <f>17000+1200</f>
        <v>18200</v>
      </c>
      <c r="H130" s="36">
        <f>17000+1200</f>
        <v>18200</v>
      </c>
      <c r="I130">
        <f t="shared" si="0"/>
        <v>0</v>
      </c>
      <c r="K130" t="s">
        <v>358</v>
      </c>
    </row>
    <row r="131" spans="2:11" x14ac:dyDescent="0.3">
      <c r="B131">
        <v>18</v>
      </c>
      <c r="C131" s="2" t="s">
        <v>349</v>
      </c>
      <c r="D131" t="s">
        <v>344</v>
      </c>
      <c r="E131" t="s">
        <v>350</v>
      </c>
      <c r="F131" s="6" t="s">
        <v>346</v>
      </c>
      <c r="G131">
        <v>36000</v>
      </c>
      <c r="H131" s="36">
        <f>10000+26000</f>
        <v>36000</v>
      </c>
      <c r="I131">
        <f t="shared" si="0"/>
        <v>0</v>
      </c>
      <c r="K131" t="s">
        <v>434</v>
      </c>
    </row>
    <row r="132" spans="2:11" x14ac:dyDescent="0.3">
      <c r="B132">
        <v>19</v>
      </c>
      <c r="C132" s="2" t="s">
        <v>347</v>
      </c>
      <c r="D132" t="s">
        <v>332</v>
      </c>
      <c r="E132" t="s">
        <v>345</v>
      </c>
      <c r="F132" s="6" t="s">
        <v>375</v>
      </c>
      <c r="G132">
        <v>6000</v>
      </c>
      <c r="H132" s="36">
        <v>6000</v>
      </c>
      <c r="I132">
        <f t="shared" si="0"/>
        <v>0</v>
      </c>
      <c r="K132" t="s">
        <v>376</v>
      </c>
    </row>
    <row r="133" spans="2:11" x14ac:dyDescent="0.3">
      <c r="B133">
        <v>20</v>
      </c>
      <c r="C133" s="2" t="s">
        <v>354</v>
      </c>
      <c r="D133" t="s">
        <v>355</v>
      </c>
      <c r="E133" t="s">
        <v>12</v>
      </c>
      <c r="F133" s="6" t="s">
        <v>356</v>
      </c>
      <c r="G133">
        <f>25000+8000</f>
        <v>33000</v>
      </c>
      <c r="H133" s="36">
        <v>25000</v>
      </c>
      <c r="I133">
        <f t="shared" si="0"/>
        <v>8000</v>
      </c>
      <c r="K133" t="s">
        <v>365</v>
      </c>
    </row>
    <row r="134" spans="2:11" x14ac:dyDescent="0.3">
      <c r="B134">
        <v>21</v>
      </c>
      <c r="C134" s="2" t="s">
        <v>47</v>
      </c>
      <c r="D134" t="s">
        <v>94</v>
      </c>
      <c r="E134" t="s">
        <v>12</v>
      </c>
      <c r="F134" s="6" t="s">
        <v>356</v>
      </c>
      <c r="G134">
        <v>12000</v>
      </c>
      <c r="H134" s="36">
        <v>11000</v>
      </c>
      <c r="I134">
        <f t="shared" si="0"/>
        <v>1000</v>
      </c>
      <c r="K134" t="s">
        <v>617</v>
      </c>
    </row>
    <row r="135" spans="2:11" x14ac:dyDescent="0.3">
      <c r="B135">
        <v>22</v>
      </c>
      <c r="C135" s="2" t="s">
        <v>360</v>
      </c>
      <c r="D135" t="s">
        <v>18</v>
      </c>
      <c r="E135" t="s">
        <v>12</v>
      </c>
      <c r="F135" s="6" t="s">
        <v>361</v>
      </c>
      <c r="G135">
        <v>16800</v>
      </c>
      <c r="H135" s="36">
        <v>16800</v>
      </c>
      <c r="I135">
        <f t="shared" si="0"/>
        <v>0</v>
      </c>
      <c r="K135" t="s">
        <v>362</v>
      </c>
    </row>
    <row r="136" spans="2:11" x14ac:dyDescent="0.3">
      <c r="B136">
        <v>23</v>
      </c>
      <c r="C136" s="2" t="s">
        <v>363</v>
      </c>
      <c r="D136" t="s">
        <v>364</v>
      </c>
      <c r="E136" t="s">
        <v>12</v>
      </c>
      <c r="F136" s="6" t="s">
        <v>361</v>
      </c>
      <c r="G136">
        <f>40000+16500+10000+14400+3000+6000-7200</f>
        <v>82700</v>
      </c>
      <c r="H136" s="36">
        <f>20000+14600+20000+5000+30000</f>
        <v>89600</v>
      </c>
      <c r="I136">
        <f t="shared" si="0"/>
        <v>-6900</v>
      </c>
      <c r="K136" t="s">
        <v>722</v>
      </c>
    </row>
    <row r="137" spans="2:11" x14ac:dyDescent="0.3">
      <c r="B137">
        <v>24</v>
      </c>
      <c r="C137" s="2" t="s">
        <v>366</v>
      </c>
      <c r="D137" t="s">
        <v>367</v>
      </c>
      <c r="E137" t="s">
        <v>12</v>
      </c>
      <c r="F137" s="6" t="s">
        <v>368</v>
      </c>
      <c r="G137">
        <f>6000+4000</f>
        <v>10000</v>
      </c>
      <c r="H137" s="36">
        <f>6000+4000</f>
        <v>10000</v>
      </c>
      <c r="I137">
        <f t="shared" si="0"/>
        <v>0</v>
      </c>
      <c r="K137" t="s">
        <v>393</v>
      </c>
    </row>
    <row r="138" spans="2:11" x14ac:dyDescent="0.3">
      <c r="B138">
        <v>25</v>
      </c>
      <c r="C138" s="2" t="s">
        <v>369</v>
      </c>
      <c r="D138" t="s">
        <v>370</v>
      </c>
      <c r="E138" t="s">
        <v>12</v>
      </c>
      <c r="F138" s="6" t="s">
        <v>368</v>
      </c>
      <c r="G138">
        <f>25000+15000+24000+4000</f>
        <v>68000</v>
      </c>
      <c r="H138" s="36">
        <f>5000+5000+10000+10000+10000</f>
        <v>40000</v>
      </c>
      <c r="I138">
        <f t="shared" si="0"/>
        <v>28000</v>
      </c>
      <c r="K138" t="s">
        <v>413</v>
      </c>
    </row>
    <row r="139" spans="2:11" x14ac:dyDescent="0.3">
      <c r="B139">
        <v>26</v>
      </c>
      <c r="C139" s="2" t="s">
        <v>377</v>
      </c>
      <c r="D139" t="s">
        <v>373</v>
      </c>
      <c r="E139" t="s">
        <v>12</v>
      </c>
      <c r="F139" s="6" t="s">
        <v>374</v>
      </c>
      <c r="G139">
        <v>160000</v>
      </c>
      <c r="H139" s="36">
        <f>50000+50000</f>
        <v>100000</v>
      </c>
      <c r="I139">
        <f t="shared" si="0"/>
        <v>60000</v>
      </c>
      <c r="K139" t="s">
        <v>1250</v>
      </c>
    </row>
    <row r="140" spans="2:11" x14ac:dyDescent="0.3">
      <c r="B140">
        <v>27</v>
      </c>
      <c r="C140" s="2" t="s">
        <v>335</v>
      </c>
      <c r="D140" t="s">
        <v>61</v>
      </c>
      <c r="E140" t="s">
        <v>60</v>
      </c>
      <c r="G140">
        <v>6000</v>
      </c>
      <c r="H140" s="36">
        <v>5760</v>
      </c>
      <c r="I140">
        <f t="shared" si="0"/>
        <v>240</v>
      </c>
      <c r="K140" t="s">
        <v>378</v>
      </c>
    </row>
    <row r="141" spans="2:11" x14ac:dyDescent="0.3">
      <c r="B141">
        <v>28</v>
      </c>
      <c r="C141" s="2" t="s">
        <v>220</v>
      </c>
      <c r="D141" t="s">
        <v>221</v>
      </c>
      <c r="E141" t="s">
        <v>51</v>
      </c>
      <c r="F141" s="6" t="s">
        <v>382</v>
      </c>
      <c r="H141" s="36">
        <v>5000</v>
      </c>
      <c r="K141" t="s">
        <v>383</v>
      </c>
    </row>
    <row r="142" spans="2:11" x14ac:dyDescent="0.3">
      <c r="B142">
        <v>29</v>
      </c>
      <c r="C142" s="2" t="s">
        <v>384</v>
      </c>
      <c r="D142" t="s">
        <v>103</v>
      </c>
      <c r="E142" t="s">
        <v>12</v>
      </c>
      <c r="F142" s="6" t="s">
        <v>382</v>
      </c>
      <c r="G142">
        <v>12000</v>
      </c>
      <c r="H142" s="36">
        <v>12000</v>
      </c>
      <c r="K142" t="s">
        <v>385</v>
      </c>
    </row>
    <row r="143" spans="2:11" x14ac:dyDescent="0.3">
      <c r="B143">
        <v>30</v>
      </c>
      <c r="C143" s="2" t="s">
        <v>388</v>
      </c>
      <c r="E143" t="s">
        <v>12</v>
      </c>
      <c r="F143" s="6" t="s">
        <v>389</v>
      </c>
      <c r="H143" s="36">
        <v>40000</v>
      </c>
      <c r="K143" t="s">
        <v>390</v>
      </c>
    </row>
    <row r="144" spans="2:11" x14ac:dyDescent="0.3">
      <c r="B144">
        <v>31</v>
      </c>
      <c r="C144" s="2" t="s">
        <v>324</v>
      </c>
      <c r="D144" t="s">
        <v>164</v>
      </c>
      <c r="E144" t="s">
        <v>325</v>
      </c>
      <c r="F144" s="6" t="s">
        <v>389</v>
      </c>
      <c r="H144" s="36">
        <v>10000</v>
      </c>
      <c r="K144" t="s">
        <v>391</v>
      </c>
    </row>
    <row r="145" spans="2:14" x14ac:dyDescent="0.3">
      <c r="B145">
        <v>32</v>
      </c>
      <c r="C145" s="2" t="s">
        <v>394</v>
      </c>
      <c r="D145" t="s">
        <v>395</v>
      </c>
      <c r="E145" t="s">
        <v>12</v>
      </c>
      <c r="F145" s="6" t="s">
        <v>396</v>
      </c>
      <c r="H145" s="36">
        <v>8500</v>
      </c>
      <c r="K145" t="s">
        <v>397</v>
      </c>
    </row>
    <row r="146" spans="2:14" x14ac:dyDescent="0.3">
      <c r="B146">
        <v>33</v>
      </c>
      <c r="C146" s="2" t="s">
        <v>360</v>
      </c>
      <c r="D146" t="s">
        <v>18</v>
      </c>
      <c r="E146" t="s">
        <v>12</v>
      </c>
      <c r="F146" s="6" t="s">
        <v>398</v>
      </c>
      <c r="H146" s="36">
        <v>16800</v>
      </c>
      <c r="K146" t="s">
        <v>399</v>
      </c>
    </row>
    <row r="147" spans="2:14" x14ac:dyDescent="0.3">
      <c r="E147" s="120" t="s">
        <v>435</v>
      </c>
      <c r="F147" s="121"/>
      <c r="G147" s="121"/>
      <c r="H147" s="22">
        <f>SUM(H114:H146)</f>
        <v>756060</v>
      </c>
    </row>
    <row r="148" spans="2:14" x14ac:dyDescent="0.3">
      <c r="H148" s="8"/>
    </row>
    <row r="149" spans="2:14" x14ac:dyDescent="0.3">
      <c r="B149">
        <v>1</v>
      </c>
      <c r="C149" s="2" t="s">
        <v>99</v>
      </c>
      <c r="D149" t="s">
        <v>100</v>
      </c>
      <c r="E149" t="s">
        <v>12</v>
      </c>
      <c r="F149" s="6" t="s">
        <v>400</v>
      </c>
      <c r="H149" s="36">
        <v>12000</v>
      </c>
      <c r="K149" t="s">
        <v>401</v>
      </c>
    </row>
    <row r="150" spans="2:14" x14ac:dyDescent="0.3">
      <c r="B150">
        <v>2</v>
      </c>
      <c r="C150" s="2" t="s">
        <v>402</v>
      </c>
      <c r="D150" t="s">
        <v>404</v>
      </c>
      <c r="E150" t="s">
        <v>403</v>
      </c>
      <c r="F150" s="6" t="s">
        <v>400</v>
      </c>
      <c r="H150" s="33">
        <f>25000+12000</f>
        <v>37000</v>
      </c>
      <c r="K150" t="s">
        <v>405</v>
      </c>
    </row>
    <row r="151" spans="2:14" x14ac:dyDescent="0.3">
      <c r="B151">
        <v>3</v>
      </c>
      <c r="C151" s="2" t="s">
        <v>188</v>
      </c>
      <c r="D151" t="s">
        <v>189</v>
      </c>
      <c r="E151" t="s">
        <v>12</v>
      </c>
      <c r="F151" s="6" t="s">
        <v>406</v>
      </c>
      <c r="H151" s="33">
        <v>10000</v>
      </c>
      <c r="K151" t="s">
        <v>407</v>
      </c>
    </row>
    <row r="152" spans="2:14" x14ac:dyDescent="0.3">
      <c r="B152">
        <v>4</v>
      </c>
      <c r="C152" s="2" t="s">
        <v>409</v>
      </c>
      <c r="D152" t="s">
        <v>410</v>
      </c>
      <c r="E152" t="s">
        <v>411</v>
      </c>
      <c r="F152" s="6" t="s">
        <v>412</v>
      </c>
      <c r="H152" s="33">
        <v>10000</v>
      </c>
      <c r="K152" t="s">
        <v>425</v>
      </c>
    </row>
    <row r="153" spans="2:14" x14ac:dyDescent="0.3">
      <c r="B153">
        <v>5</v>
      </c>
      <c r="C153" s="2" t="s">
        <v>239</v>
      </c>
      <c r="H153" s="33">
        <v>500</v>
      </c>
      <c r="K153" t="s">
        <v>414</v>
      </c>
    </row>
    <row r="154" spans="2:14" x14ac:dyDescent="0.3">
      <c r="B154">
        <v>6</v>
      </c>
      <c r="C154" s="2" t="s">
        <v>248</v>
      </c>
      <c r="D154" t="s">
        <v>249</v>
      </c>
      <c r="E154" t="s">
        <v>12</v>
      </c>
      <c r="F154" s="6" t="s">
        <v>415</v>
      </c>
      <c r="H154" s="33">
        <v>20000</v>
      </c>
      <c r="K154" t="s">
        <v>416</v>
      </c>
    </row>
    <row r="155" spans="2:14" x14ac:dyDescent="0.3">
      <c r="B155">
        <v>8</v>
      </c>
      <c r="C155" s="46" t="s">
        <v>240</v>
      </c>
      <c r="D155" t="s">
        <v>119</v>
      </c>
      <c r="E155" t="s">
        <v>245</v>
      </c>
      <c r="F155" s="6" t="s">
        <v>418</v>
      </c>
      <c r="H155" s="33">
        <v>66800</v>
      </c>
      <c r="K155" t="s">
        <v>419</v>
      </c>
    </row>
    <row r="156" spans="2:14" ht="24" x14ac:dyDescent="0.55000000000000004">
      <c r="B156">
        <v>9</v>
      </c>
      <c r="C156" s="2" t="s">
        <v>420</v>
      </c>
      <c r="D156" t="s">
        <v>421</v>
      </c>
      <c r="E156" t="s">
        <v>12</v>
      </c>
      <c r="F156" s="6" t="s">
        <v>418</v>
      </c>
      <c r="G156">
        <f>30000+9000+15000+12000</f>
        <v>66000</v>
      </c>
      <c r="H156" s="33">
        <f>15000+15000+5000+20000</f>
        <v>55000</v>
      </c>
      <c r="I156">
        <f t="shared" ref="I156:I162" si="1">G156-H156</f>
        <v>11000</v>
      </c>
      <c r="K156" t="s">
        <v>590</v>
      </c>
      <c r="N156" s="48" t="s">
        <v>450</v>
      </c>
    </row>
    <row r="157" spans="2:14" x14ac:dyDescent="0.3">
      <c r="B157">
        <v>7</v>
      </c>
      <c r="C157" s="2" t="s">
        <v>243</v>
      </c>
      <c r="D157" t="s">
        <v>26</v>
      </c>
      <c r="E157" t="s">
        <v>12</v>
      </c>
      <c r="F157" s="6" t="s">
        <v>422</v>
      </c>
      <c r="G157">
        <v>24000</v>
      </c>
      <c r="H157" s="33">
        <v>24000</v>
      </c>
      <c r="I157">
        <f t="shared" si="1"/>
        <v>0</v>
      </c>
      <c r="K157" t="s">
        <v>424</v>
      </c>
    </row>
    <row r="158" spans="2:14" x14ac:dyDescent="0.3">
      <c r="B158">
        <v>11</v>
      </c>
      <c r="C158" s="2" t="s">
        <v>426</v>
      </c>
      <c r="D158" t="s">
        <v>92</v>
      </c>
      <c r="E158" t="s">
        <v>12</v>
      </c>
      <c r="F158" s="6" t="s">
        <v>427</v>
      </c>
      <c r="G158">
        <f>30000+10000-5000</f>
        <v>35000</v>
      </c>
      <c r="H158" s="33">
        <f>5000+30000</f>
        <v>35000</v>
      </c>
      <c r="I158">
        <f t="shared" si="1"/>
        <v>0</v>
      </c>
      <c r="K158" t="s">
        <v>553</v>
      </c>
    </row>
    <row r="159" spans="2:14" x14ac:dyDescent="0.3">
      <c r="B159">
        <v>12</v>
      </c>
      <c r="C159" s="2" t="s">
        <v>239</v>
      </c>
      <c r="F159" s="6" t="s">
        <v>427</v>
      </c>
      <c r="H159" s="33">
        <f>500+1000</f>
        <v>1500</v>
      </c>
      <c r="I159">
        <v>0</v>
      </c>
    </row>
    <row r="160" spans="2:14" x14ac:dyDescent="0.3">
      <c r="B160">
        <v>13</v>
      </c>
      <c r="C160" s="2" t="s">
        <v>431</v>
      </c>
      <c r="D160" t="s">
        <v>94</v>
      </c>
      <c r="E160" t="s">
        <v>432</v>
      </c>
      <c r="G160">
        <f>25000+10000</f>
        <v>35000</v>
      </c>
      <c r="H160" s="33">
        <f>20000+10000+5000</f>
        <v>35000</v>
      </c>
      <c r="I160">
        <f t="shared" si="1"/>
        <v>0</v>
      </c>
      <c r="K160" t="s">
        <v>631</v>
      </c>
    </row>
    <row r="161" spans="2:11" x14ac:dyDescent="0.3">
      <c r="B161">
        <v>14</v>
      </c>
      <c r="C161" s="2" t="s">
        <v>436</v>
      </c>
      <c r="D161" t="s">
        <v>437</v>
      </c>
      <c r="E161" t="s">
        <v>438</v>
      </c>
      <c r="F161" s="6" t="s">
        <v>439</v>
      </c>
      <c r="G161">
        <v>21000</v>
      </c>
      <c r="H161" s="33">
        <v>15000</v>
      </c>
      <c r="I161">
        <f t="shared" si="1"/>
        <v>6000</v>
      </c>
      <c r="K161" t="s">
        <v>440</v>
      </c>
    </row>
    <row r="162" spans="2:11" x14ac:dyDescent="0.3">
      <c r="B162">
        <v>15</v>
      </c>
      <c r="C162" s="2" t="s">
        <v>442</v>
      </c>
      <c r="D162" t="s">
        <v>443</v>
      </c>
      <c r="E162" t="s">
        <v>12</v>
      </c>
      <c r="F162" s="6" t="s">
        <v>444</v>
      </c>
      <c r="G162">
        <f>30000+9000</f>
        <v>39000</v>
      </c>
      <c r="H162" s="33">
        <f>5000+18500+6500+9000</f>
        <v>39000</v>
      </c>
      <c r="I162">
        <f t="shared" si="1"/>
        <v>0</v>
      </c>
      <c r="K162" t="s">
        <v>527</v>
      </c>
    </row>
    <row r="163" spans="2:11" x14ac:dyDescent="0.3">
      <c r="E163" s="120" t="s">
        <v>445</v>
      </c>
      <c r="F163" s="121"/>
      <c r="G163" s="121"/>
      <c r="H163" s="22">
        <f>SUM(H149:H162)</f>
        <v>360800</v>
      </c>
    </row>
    <row r="164" spans="2:11" x14ac:dyDescent="0.3">
      <c r="B164">
        <v>1</v>
      </c>
      <c r="C164" s="2" t="s">
        <v>248</v>
      </c>
      <c r="E164" t="s">
        <v>12</v>
      </c>
      <c r="F164" s="47" t="s">
        <v>446</v>
      </c>
      <c r="H164" s="33">
        <v>24000</v>
      </c>
      <c r="K164" t="s">
        <v>447</v>
      </c>
    </row>
    <row r="165" spans="2:11" x14ac:dyDescent="0.3">
      <c r="B165">
        <v>2</v>
      </c>
      <c r="C165" s="2" t="s">
        <v>449</v>
      </c>
      <c r="F165" s="47" t="s">
        <v>448</v>
      </c>
      <c r="G165">
        <f>52000+6000+2130</f>
        <v>60130</v>
      </c>
      <c r="H165" s="22">
        <v>31000</v>
      </c>
      <c r="I165">
        <f>G165-J165</f>
        <v>130</v>
      </c>
      <c r="J165">
        <v>60000</v>
      </c>
      <c r="K165" t="s">
        <v>455</v>
      </c>
    </row>
    <row r="166" spans="2:11" x14ac:dyDescent="0.3">
      <c r="B166">
        <v>3</v>
      </c>
      <c r="C166" s="2" t="s">
        <v>451</v>
      </c>
      <c r="D166" t="s">
        <v>452</v>
      </c>
      <c r="E166" t="s">
        <v>51</v>
      </c>
      <c r="F166" s="47" t="s">
        <v>453</v>
      </c>
      <c r="G166">
        <v>20000</v>
      </c>
      <c r="H166" s="33">
        <v>20000</v>
      </c>
      <c r="I166">
        <f t="shared" ref="I166:I170" si="2">G166-H166</f>
        <v>0</v>
      </c>
      <c r="K166" t="s">
        <v>461</v>
      </c>
    </row>
    <row r="167" spans="2:11" x14ac:dyDescent="0.3">
      <c r="B167">
        <v>4</v>
      </c>
      <c r="C167" s="2" t="s">
        <v>248</v>
      </c>
      <c r="E167" t="s">
        <v>12</v>
      </c>
      <c r="F167" s="47" t="s">
        <v>454</v>
      </c>
      <c r="G167">
        <v>53500</v>
      </c>
      <c r="H167" s="33">
        <v>53500</v>
      </c>
      <c r="I167">
        <f t="shared" si="2"/>
        <v>0</v>
      </c>
      <c r="K167" t="s">
        <v>479</v>
      </c>
    </row>
    <row r="168" spans="2:11" x14ac:dyDescent="0.3">
      <c r="B168">
        <v>5</v>
      </c>
      <c r="C168" s="2" t="s">
        <v>456</v>
      </c>
      <c r="D168" t="s">
        <v>457</v>
      </c>
      <c r="E168" t="s">
        <v>12</v>
      </c>
      <c r="F168" s="47" t="s">
        <v>458</v>
      </c>
      <c r="G168">
        <f>20000+10000+4500+1400+3000</f>
        <v>38900</v>
      </c>
      <c r="H168" s="33">
        <f>10000+15000+13900</f>
        <v>38900</v>
      </c>
      <c r="I168">
        <f t="shared" si="2"/>
        <v>0</v>
      </c>
      <c r="K168" t="s">
        <v>559</v>
      </c>
    </row>
    <row r="169" spans="2:11" x14ac:dyDescent="0.3">
      <c r="B169">
        <v>6</v>
      </c>
      <c r="C169" s="2" t="s">
        <v>472</v>
      </c>
      <c r="D169" t="s">
        <v>18</v>
      </c>
      <c r="E169" t="s">
        <v>106</v>
      </c>
      <c r="F169" s="47" t="s">
        <v>460</v>
      </c>
      <c r="G169">
        <f>8000+9000</f>
        <v>17000</v>
      </c>
      <c r="H169" s="33">
        <f>8000+9000</f>
        <v>17000</v>
      </c>
      <c r="I169">
        <f t="shared" si="2"/>
        <v>0</v>
      </c>
      <c r="K169" t="s">
        <v>646</v>
      </c>
    </row>
    <row r="170" spans="2:11" x14ac:dyDescent="0.3">
      <c r="B170">
        <v>7</v>
      </c>
      <c r="C170" s="2" t="s">
        <v>465</v>
      </c>
      <c r="D170" t="s">
        <v>462</v>
      </c>
      <c r="E170" t="s">
        <v>12</v>
      </c>
      <c r="F170" s="47" t="s">
        <v>463</v>
      </c>
      <c r="G170">
        <f>60000+30000+3000</f>
        <v>93000</v>
      </c>
      <c r="H170" s="33">
        <f>93000+22800</f>
        <v>115800</v>
      </c>
      <c r="I170" s="19">
        <f t="shared" si="2"/>
        <v>-22800</v>
      </c>
      <c r="K170" t="s">
        <v>529</v>
      </c>
    </row>
    <row r="171" spans="2:11" x14ac:dyDescent="0.3">
      <c r="B171">
        <v>8</v>
      </c>
      <c r="C171" s="2" t="s">
        <v>466</v>
      </c>
      <c r="D171" t="s">
        <v>464</v>
      </c>
      <c r="E171" t="s">
        <v>12</v>
      </c>
      <c r="F171" s="47" t="s">
        <v>463</v>
      </c>
      <c r="G171">
        <f>52000+7500+8500+16200+11500+1500</f>
        <v>97200</v>
      </c>
      <c r="H171">
        <v>32000</v>
      </c>
      <c r="I171" s="33">
        <f>55000+40700+1500</f>
        <v>97200</v>
      </c>
      <c r="J171" s="33"/>
      <c r="K171" t="s">
        <v>482</v>
      </c>
    </row>
    <row r="172" spans="2:11" x14ac:dyDescent="0.3">
      <c r="B172">
        <v>10</v>
      </c>
      <c r="C172" s="2" t="s">
        <v>473</v>
      </c>
      <c r="D172" t="s">
        <v>338</v>
      </c>
      <c r="E172" t="s">
        <v>7</v>
      </c>
      <c r="F172" s="47" t="s">
        <v>474</v>
      </c>
      <c r="H172" s="14">
        <v>6000</v>
      </c>
      <c r="K172" t="s">
        <v>475</v>
      </c>
    </row>
    <row r="173" spans="2:11" x14ac:dyDescent="0.3">
      <c r="B173">
        <v>11</v>
      </c>
      <c r="C173" s="2" t="s">
        <v>220</v>
      </c>
      <c r="D173" t="s">
        <v>476</v>
      </c>
      <c r="E173" t="s">
        <v>51</v>
      </c>
      <c r="F173" s="47" t="s">
        <v>477</v>
      </c>
      <c r="H173" s="12">
        <v>12000</v>
      </c>
      <c r="K173" t="s">
        <v>478</v>
      </c>
    </row>
    <row r="174" spans="2:11" x14ac:dyDescent="0.3">
      <c r="B174">
        <v>12</v>
      </c>
      <c r="E174" s="120" t="s">
        <v>480</v>
      </c>
      <c r="F174" s="121"/>
      <c r="G174" s="121"/>
      <c r="H174" s="49">
        <f>SUM(H164:H173)</f>
        <v>350200</v>
      </c>
    </row>
    <row r="175" spans="2:11" x14ac:dyDescent="0.3">
      <c r="B175">
        <v>13</v>
      </c>
      <c r="C175" s="2" t="s">
        <v>483</v>
      </c>
      <c r="D175" t="s">
        <v>130</v>
      </c>
      <c r="E175" t="s">
        <v>432</v>
      </c>
      <c r="F175" s="47" t="s">
        <v>484</v>
      </c>
      <c r="H175" s="14">
        <v>12000</v>
      </c>
      <c r="K175" t="s">
        <v>485</v>
      </c>
    </row>
    <row r="176" spans="2:11" x14ac:dyDescent="0.3">
      <c r="B176">
        <v>14</v>
      </c>
      <c r="C176" s="2" t="s">
        <v>487</v>
      </c>
      <c r="D176" t="s">
        <v>488</v>
      </c>
      <c r="E176" t="s">
        <v>489</v>
      </c>
      <c r="F176" s="47" t="s">
        <v>490</v>
      </c>
      <c r="G176">
        <v>21000</v>
      </c>
      <c r="H176" s="14">
        <v>15000</v>
      </c>
      <c r="I176">
        <f t="shared" ref="I176" si="3">G176-H176</f>
        <v>6000</v>
      </c>
      <c r="K176" t="s">
        <v>491</v>
      </c>
    </row>
    <row r="177" spans="2:11" x14ac:dyDescent="0.3">
      <c r="B177">
        <v>15</v>
      </c>
      <c r="C177" s="2" t="s">
        <v>239</v>
      </c>
      <c r="H177" s="14">
        <v>3500</v>
      </c>
      <c r="K177" t="s">
        <v>492</v>
      </c>
    </row>
    <row r="178" spans="2:11" x14ac:dyDescent="0.3">
      <c r="B178">
        <v>16</v>
      </c>
      <c r="C178" s="21" t="s">
        <v>217</v>
      </c>
      <c r="D178" t="s">
        <v>18</v>
      </c>
      <c r="E178" t="s">
        <v>12</v>
      </c>
      <c r="F178" s="47" t="s">
        <v>490</v>
      </c>
      <c r="H178" s="14">
        <v>15000</v>
      </c>
      <c r="K178" t="s">
        <v>493</v>
      </c>
    </row>
    <row r="179" spans="2:11" x14ac:dyDescent="0.3">
      <c r="B179">
        <v>17</v>
      </c>
      <c r="C179" s="2" t="s">
        <v>487</v>
      </c>
      <c r="D179" t="s">
        <v>494</v>
      </c>
      <c r="E179" t="s">
        <v>495</v>
      </c>
      <c r="F179" s="47" t="s">
        <v>496</v>
      </c>
      <c r="G179">
        <f>30000+8000</f>
        <v>38000</v>
      </c>
      <c r="H179" s="14">
        <f>15000+15000+8000</f>
        <v>38000</v>
      </c>
      <c r="I179">
        <f t="shared" ref="I179:I181" si="4">G179-H179</f>
        <v>0</v>
      </c>
      <c r="K179" t="s">
        <v>635</v>
      </c>
    </row>
    <row r="180" spans="2:11" x14ac:dyDescent="0.3">
      <c r="B180">
        <v>18</v>
      </c>
      <c r="C180" s="2" t="s">
        <v>497</v>
      </c>
      <c r="D180" t="s">
        <v>498</v>
      </c>
      <c r="E180" t="s">
        <v>12</v>
      </c>
      <c r="F180" s="47" t="s">
        <v>496</v>
      </c>
      <c r="G180">
        <v>20000</v>
      </c>
      <c r="H180" s="14">
        <f>5000+15000</f>
        <v>20000</v>
      </c>
      <c r="I180">
        <f t="shared" si="4"/>
        <v>0</v>
      </c>
      <c r="K180" t="s">
        <v>528</v>
      </c>
    </row>
    <row r="181" spans="2:11" x14ac:dyDescent="0.3">
      <c r="B181">
        <v>19</v>
      </c>
      <c r="C181" s="2" t="s">
        <v>525</v>
      </c>
      <c r="D181" t="s">
        <v>526</v>
      </c>
      <c r="E181" t="s">
        <v>12</v>
      </c>
      <c r="F181" s="47" t="s">
        <v>520</v>
      </c>
      <c r="G181">
        <v>325750</v>
      </c>
      <c r="H181" s="14">
        <f>150000+50000+50000+50000+25000</f>
        <v>325000</v>
      </c>
      <c r="I181">
        <f t="shared" si="4"/>
        <v>750</v>
      </c>
      <c r="K181" t="s">
        <v>621</v>
      </c>
    </row>
    <row r="182" spans="2:11" x14ac:dyDescent="0.3">
      <c r="B182">
        <v>20</v>
      </c>
      <c r="C182" s="2" t="s">
        <v>530</v>
      </c>
      <c r="D182" t="s">
        <v>24</v>
      </c>
      <c r="E182" t="s">
        <v>12</v>
      </c>
      <c r="F182" s="47" t="s">
        <v>531</v>
      </c>
      <c r="H182" s="14">
        <v>58500</v>
      </c>
      <c r="K182" t="s">
        <v>532</v>
      </c>
    </row>
    <row r="183" spans="2:11" x14ac:dyDescent="0.3">
      <c r="B183">
        <v>21</v>
      </c>
      <c r="C183" s="2" t="s">
        <v>541</v>
      </c>
      <c r="E183" t="s">
        <v>464</v>
      </c>
      <c r="F183" s="47" t="s">
        <v>542</v>
      </c>
      <c r="G183">
        <f>8000+14500+11500</f>
        <v>34000</v>
      </c>
      <c r="H183" s="14">
        <v>34000</v>
      </c>
      <c r="I183">
        <f t="shared" ref="I183:I185" si="5">G183-H183</f>
        <v>0</v>
      </c>
      <c r="K183" t="s">
        <v>585</v>
      </c>
    </row>
    <row r="184" spans="2:11" x14ac:dyDescent="0.3">
      <c r="B184">
        <v>22</v>
      </c>
      <c r="C184" s="2" t="s">
        <v>541</v>
      </c>
      <c r="E184" t="s">
        <v>536</v>
      </c>
      <c r="F184" s="47" t="s">
        <v>542</v>
      </c>
      <c r="G184">
        <f>30000+3000</f>
        <v>33000</v>
      </c>
      <c r="H184">
        <v>16000</v>
      </c>
      <c r="I184">
        <f t="shared" si="5"/>
        <v>17000</v>
      </c>
      <c r="K184" t="s">
        <v>581</v>
      </c>
    </row>
    <row r="185" spans="2:11" x14ac:dyDescent="0.3">
      <c r="B185">
        <v>23</v>
      </c>
      <c r="C185" s="2" t="s">
        <v>573</v>
      </c>
      <c r="D185" t="s">
        <v>574</v>
      </c>
      <c r="E185" t="s">
        <v>51</v>
      </c>
      <c r="F185" s="47" t="s">
        <v>560</v>
      </c>
      <c r="G185">
        <f>33000+8000-1850</f>
        <v>39150</v>
      </c>
      <c r="H185" s="14">
        <v>39150</v>
      </c>
      <c r="I185">
        <f t="shared" si="5"/>
        <v>0</v>
      </c>
      <c r="K185" t="s">
        <v>589</v>
      </c>
    </row>
    <row r="186" spans="2:11" x14ac:dyDescent="0.3">
      <c r="B186">
        <v>24</v>
      </c>
      <c r="C186" s="2" t="s">
        <v>239</v>
      </c>
      <c r="F186" s="47" t="s">
        <v>575</v>
      </c>
      <c r="H186">
        <f>1000+2500+300+400+1900+5000</f>
        <v>11100</v>
      </c>
      <c r="K186" t="s">
        <v>576</v>
      </c>
    </row>
    <row r="187" spans="2:11" x14ac:dyDescent="0.3">
      <c r="B187">
        <v>25</v>
      </c>
      <c r="C187" s="2" t="s">
        <v>239</v>
      </c>
      <c r="F187" s="47" t="s">
        <v>575</v>
      </c>
      <c r="H187">
        <f>2100+10500+1000+1000+750+700+500+3500</f>
        <v>20050</v>
      </c>
      <c r="K187" t="s">
        <v>573</v>
      </c>
    </row>
    <row r="188" spans="2:11" x14ac:dyDescent="0.3">
      <c r="B188">
        <v>26</v>
      </c>
      <c r="C188" s="2" t="s">
        <v>578</v>
      </c>
      <c r="F188" s="47" t="s">
        <v>579</v>
      </c>
      <c r="H188">
        <v>29118</v>
      </c>
      <c r="K188" t="s">
        <v>580</v>
      </c>
    </row>
    <row r="189" spans="2:11" x14ac:dyDescent="0.3">
      <c r="B189">
        <v>27</v>
      </c>
      <c r="C189" s="2" t="s">
        <v>583</v>
      </c>
      <c r="D189" t="s">
        <v>94</v>
      </c>
      <c r="E189" t="s">
        <v>432</v>
      </c>
      <c r="G189">
        <f>15000+4000+10000</f>
        <v>29000</v>
      </c>
      <c r="H189" s="33">
        <f>10000+19000</f>
        <v>29000</v>
      </c>
      <c r="I189">
        <f t="shared" ref="I189" si="6">G189-H189</f>
        <v>0</v>
      </c>
      <c r="K189" t="s">
        <v>645</v>
      </c>
    </row>
    <row r="190" spans="2:11" x14ac:dyDescent="0.3">
      <c r="E190" s="120" t="s">
        <v>618</v>
      </c>
      <c r="F190" s="121"/>
      <c r="G190" s="121"/>
      <c r="H190" s="49">
        <f>SUM(H175:H189)</f>
        <v>665418</v>
      </c>
    </row>
    <row r="192" spans="2:11" x14ac:dyDescent="0.3">
      <c r="B192">
        <v>1</v>
      </c>
      <c r="C192" s="2" t="s">
        <v>122</v>
      </c>
      <c r="D192" t="s">
        <v>123</v>
      </c>
      <c r="E192" t="s">
        <v>46</v>
      </c>
      <c r="F192" s="6" t="s">
        <v>587</v>
      </c>
      <c r="G192">
        <v>12000</v>
      </c>
      <c r="H192" s="33">
        <v>12000</v>
      </c>
      <c r="I192">
        <f t="shared" ref="I192:I194" si="7">G192-H192</f>
        <v>0</v>
      </c>
      <c r="K192" t="s">
        <v>586</v>
      </c>
    </row>
    <row r="193" spans="2:11" x14ac:dyDescent="0.3">
      <c r="B193">
        <v>2</v>
      </c>
      <c r="C193" s="2" t="s">
        <v>239</v>
      </c>
      <c r="H193" s="8">
        <v>3000</v>
      </c>
      <c r="K193" t="s">
        <v>588</v>
      </c>
    </row>
    <row r="194" spans="2:11" x14ac:dyDescent="0.3">
      <c r="B194">
        <v>3</v>
      </c>
      <c r="C194" s="2" t="s">
        <v>600</v>
      </c>
      <c r="D194" t="s">
        <v>591</v>
      </c>
      <c r="E194" t="s">
        <v>12</v>
      </c>
      <c r="F194" s="6" t="s">
        <v>592</v>
      </c>
      <c r="G194">
        <f>40000+12000+6300</f>
        <v>58300</v>
      </c>
      <c r="H194" s="8">
        <f>40000+12000+6300</f>
        <v>58300</v>
      </c>
      <c r="I194">
        <f t="shared" si="7"/>
        <v>0</v>
      </c>
      <c r="J194" s="8">
        <f>65000+10000+10000+10000+19200</f>
        <v>114200</v>
      </c>
      <c r="K194" t="s">
        <v>625</v>
      </c>
    </row>
    <row r="195" spans="2:11" x14ac:dyDescent="0.3">
      <c r="B195">
        <v>4</v>
      </c>
      <c r="C195" s="2" t="s">
        <v>610</v>
      </c>
      <c r="D195" t="s">
        <v>164</v>
      </c>
      <c r="E195" t="s">
        <v>611</v>
      </c>
      <c r="F195" s="6" t="s">
        <v>612</v>
      </c>
      <c r="G195">
        <f>30000+18000+12000</f>
        <v>60000</v>
      </c>
      <c r="H195" s="8">
        <v>60000</v>
      </c>
      <c r="K195" t="s">
        <v>613</v>
      </c>
    </row>
    <row r="196" spans="2:11" x14ac:dyDescent="0.3">
      <c r="B196">
        <v>5</v>
      </c>
      <c r="C196" s="2" t="s">
        <v>239</v>
      </c>
      <c r="H196">
        <f>5000</f>
        <v>5000</v>
      </c>
      <c r="K196" t="s">
        <v>614</v>
      </c>
    </row>
    <row r="197" spans="2:11" x14ac:dyDescent="0.3">
      <c r="B197">
        <v>6</v>
      </c>
      <c r="C197" s="2" t="s">
        <v>622</v>
      </c>
      <c r="D197" t="s">
        <v>192</v>
      </c>
      <c r="F197" s="6" t="s">
        <v>623</v>
      </c>
      <c r="G197">
        <f>40000+7200</f>
        <v>47200</v>
      </c>
      <c r="H197" s="8">
        <f>40000+7200</f>
        <v>47200</v>
      </c>
      <c r="I197">
        <f t="shared" ref="I197" si="8">G197-H197</f>
        <v>0</v>
      </c>
      <c r="K197" t="s">
        <v>744</v>
      </c>
    </row>
    <row r="198" spans="2:11" x14ac:dyDescent="0.3">
      <c r="E198" s="120" t="s">
        <v>624</v>
      </c>
      <c r="F198" s="121"/>
      <c r="G198" s="121"/>
      <c r="H198" s="49">
        <f>SUM(H192:H197)</f>
        <v>185500</v>
      </c>
    </row>
    <row r="200" spans="2:11" x14ac:dyDescent="0.3">
      <c r="B200">
        <v>1</v>
      </c>
      <c r="C200" s="2" t="s">
        <v>239</v>
      </c>
      <c r="F200" s="6" t="s">
        <v>632</v>
      </c>
      <c r="H200">
        <f>5000+2000+4000</f>
        <v>11000</v>
      </c>
      <c r="K200" t="s">
        <v>641</v>
      </c>
    </row>
    <row r="201" spans="2:11" x14ac:dyDescent="0.3">
      <c r="B201">
        <v>2</v>
      </c>
      <c r="C201" s="2" t="s">
        <v>628</v>
      </c>
      <c r="D201" t="s">
        <v>192</v>
      </c>
      <c r="E201" t="s">
        <v>39</v>
      </c>
      <c r="F201" s="6" t="s">
        <v>629</v>
      </c>
      <c r="H201">
        <v>31000</v>
      </c>
      <c r="K201" t="s">
        <v>630</v>
      </c>
    </row>
    <row r="202" spans="2:11" x14ac:dyDescent="0.3">
      <c r="B202">
        <v>3</v>
      </c>
      <c r="C202" s="2" t="s">
        <v>17</v>
      </c>
      <c r="D202" t="s">
        <v>126</v>
      </c>
      <c r="E202" t="s">
        <v>39</v>
      </c>
      <c r="F202" s="6" t="s">
        <v>633</v>
      </c>
      <c r="H202">
        <v>4000</v>
      </c>
      <c r="K202" t="s">
        <v>634</v>
      </c>
    </row>
    <row r="203" spans="2:11" x14ac:dyDescent="0.3">
      <c r="B203">
        <v>4</v>
      </c>
      <c r="C203" s="2" t="s">
        <v>636</v>
      </c>
      <c r="D203" t="s">
        <v>164</v>
      </c>
      <c r="E203" t="s">
        <v>12</v>
      </c>
      <c r="G203">
        <v>72000</v>
      </c>
      <c r="H203">
        <f>20000+52000</f>
        <v>72000</v>
      </c>
      <c r="I203">
        <f t="shared" ref="I203:I215" si="9">G203-H203</f>
        <v>0</v>
      </c>
      <c r="K203" t="s">
        <v>688</v>
      </c>
    </row>
    <row r="204" spans="2:11" x14ac:dyDescent="0.3">
      <c r="B204">
        <v>5</v>
      </c>
      <c r="C204" s="2" t="s">
        <v>638</v>
      </c>
      <c r="D204" t="s">
        <v>639</v>
      </c>
      <c r="E204" t="s">
        <v>12</v>
      </c>
      <c r="F204" s="6" t="s">
        <v>640</v>
      </c>
      <c r="G204">
        <v>75000</v>
      </c>
      <c r="H204">
        <f>75000</f>
        <v>75000</v>
      </c>
      <c r="I204">
        <f t="shared" si="9"/>
        <v>0</v>
      </c>
      <c r="K204" t="s">
        <v>1007</v>
      </c>
    </row>
    <row r="205" spans="2:11" x14ac:dyDescent="0.3">
      <c r="B205">
        <v>6</v>
      </c>
      <c r="C205" s="2" t="s">
        <v>642</v>
      </c>
      <c r="D205" t="s">
        <v>92</v>
      </c>
      <c r="E205" t="s">
        <v>12</v>
      </c>
      <c r="F205" s="6" t="s">
        <v>643</v>
      </c>
      <c r="G205">
        <v>4000</v>
      </c>
      <c r="H205">
        <v>4000</v>
      </c>
      <c r="K205" t="s">
        <v>644</v>
      </c>
    </row>
    <row r="206" spans="2:11" x14ac:dyDescent="0.3">
      <c r="B206">
        <v>7</v>
      </c>
      <c r="C206" s="2" t="s">
        <v>84</v>
      </c>
      <c r="D206" t="s">
        <v>210</v>
      </c>
      <c r="E206" t="s">
        <v>12</v>
      </c>
      <c r="G206">
        <f>6000+8400+5000</f>
        <v>19400</v>
      </c>
      <c r="H206">
        <f>8700</f>
        <v>8700</v>
      </c>
      <c r="I206">
        <v>0</v>
      </c>
      <c r="J206">
        <v>10700</v>
      </c>
      <c r="K206" t="s">
        <v>678</v>
      </c>
    </row>
    <row r="207" spans="2:11" x14ac:dyDescent="0.3">
      <c r="B207">
        <v>8</v>
      </c>
      <c r="C207" s="2" t="s">
        <v>239</v>
      </c>
      <c r="H207">
        <v>2500</v>
      </c>
      <c r="K207" t="s">
        <v>647</v>
      </c>
    </row>
    <row r="208" spans="2:11" x14ac:dyDescent="0.3">
      <c r="C208" s="4"/>
      <c r="E208" s="120" t="s">
        <v>658</v>
      </c>
      <c r="F208" s="121"/>
      <c r="G208" s="121"/>
      <c r="H208" s="49">
        <f>SUM(H200:H207)</f>
        <v>208200</v>
      </c>
    </row>
    <row r="209" spans="2:11" x14ac:dyDescent="0.3">
      <c r="C209" s="4"/>
    </row>
    <row r="210" spans="2:11" x14ac:dyDescent="0.3">
      <c r="C210" s="4"/>
    </row>
    <row r="211" spans="2:11" x14ac:dyDescent="0.3">
      <c r="B211">
        <v>1</v>
      </c>
      <c r="C211" s="2" t="s">
        <v>648</v>
      </c>
      <c r="D211" t="s">
        <v>649</v>
      </c>
      <c r="E211" t="s">
        <v>46</v>
      </c>
      <c r="F211" s="6" t="s">
        <v>655</v>
      </c>
      <c r="G211">
        <f>30000+6000</f>
        <v>36000</v>
      </c>
      <c r="H211">
        <f>6000+30000</f>
        <v>36000</v>
      </c>
      <c r="I211">
        <f t="shared" si="9"/>
        <v>0</v>
      </c>
      <c r="K211" t="s">
        <v>713</v>
      </c>
    </row>
    <row r="212" spans="2:11" x14ac:dyDescent="0.3">
      <c r="B212">
        <v>2</v>
      </c>
      <c r="C212" s="2" t="s">
        <v>651</v>
      </c>
      <c r="D212" t="s">
        <v>650</v>
      </c>
      <c r="E212" t="s">
        <v>46</v>
      </c>
      <c r="F212" s="6" t="s">
        <v>655</v>
      </c>
      <c r="G212">
        <f>30000+12000</f>
        <v>42000</v>
      </c>
      <c r="H212">
        <v>42000</v>
      </c>
      <c r="I212">
        <f t="shared" si="9"/>
        <v>0</v>
      </c>
      <c r="K212" t="s">
        <v>652</v>
      </c>
    </row>
    <row r="213" spans="2:11" x14ac:dyDescent="0.3">
      <c r="B213">
        <v>3</v>
      </c>
      <c r="C213" s="2" t="s">
        <v>653</v>
      </c>
      <c r="D213" t="s">
        <v>654</v>
      </c>
      <c r="E213" t="s">
        <v>46</v>
      </c>
      <c r="F213" s="6" t="s">
        <v>655</v>
      </c>
      <c r="H213">
        <v>6000</v>
      </c>
      <c r="K213" t="s">
        <v>656</v>
      </c>
    </row>
    <row r="214" spans="2:11" x14ac:dyDescent="0.3">
      <c r="B214">
        <v>4</v>
      </c>
      <c r="C214" s="2" t="s">
        <v>442</v>
      </c>
      <c r="D214" t="s">
        <v>443</v>
      </c>
      <c r="E214" t="s">
        <v>12</v>
      </c>
      <c r="F214" s="6" t="s">
        <v>657</v>
      </c>
      <c r="G214">
        <f>15000+7200</f>
        <v>22200</v>
      </c>
      <c r="H214">
        <f>10000+12200</f>
        <v>22200</v>
      </c>
      <c r="I214">
        <f t="shared" si="9"/>
        <v>0</v>
      </c>
      <c r="K214" t="s">
        <v>663</v>
      </c>
    </row>
    <row r="215" spans="2:11" x14ac:dyDescent="0.3">
      <c r="B215">
        <v>5</v>
      </c>
      <c r="C215" s="2" t="s">
        <v>659</v>
      </c>
      <c r="D215" t="s">
        <v>94</v>
      </c>
      <c r="E215" t="s">
        <v>660</v>
      </c>
      <c r="F215" s="6" t="s">
        <v>661</v>
      </c>
      <c r="G215">
        <f>14000+6000</f>
        <v>20000</v>
      </c>
      <c r="H215">
        <f>400+19600</f>
        <v>20000</v>
      </c>
      <c r="I215">
        <f t="shared" si="9"/>
        <v>0</v>
      </c>
      <c r="K215" t="s">
        <v>676</v>
      </c>
    </row>
    <row r="216" spans="2:11" x14ac:dyDescent="0.3">
      <c r="B216">
        <v>6</v>
      </c>
      <c r="C216" s="2" t="s">
        <v>239</v>
      </c>
      <c r="H216">
        <f>1100+1500+500+2500+1000+500+3000+400</f>
        <v>10500</v>
      </c>
      <c r="K216" t="s">
        <v>677</v>
      </c>
    </row>
    <row r="217" spans="2:11" x14ac:dyDescent="0.3">
      <c r="B217">
        <v>7</v>
      </c>
      <c r="C217" s="2" t="s">
        <v>125</v>
      </c>
      <c r="D217" t="s">
        <v>126</v>
      </c>
      <c r="H217">
        <v>3000</v>
      </c>
      <c r="K217" t="s">
        <v>662</v>
      </c>
    </row>
    <row r="218" spans="2:11" x14ac:dyDescent="0.3">
      <c r="B218">
        <v>8</v>
      </c>
      <c r="C218" s="2" t="s">
        <v>674</v>
      </c>
      <c r="D218" t="s">
        <v>119</v>
      </c>
      <c r="F218" s="6" t="s">
        <v>675</v>
      </c>
      <c r="G218">
        <v>24000</v>
      </c>
      <c r="H218">
        <f>12000+12000</f>
        <v>24000</v>
      </c>
      <c r="I218">
        <f t="shared" ref="I218" si="10">G218-H218</f>
        <v>0</v>
      </c>
      <c r="K218" t="s">
        <v>687</v>
      </c>
    </row>
    <row r="219" spans="2:11" x14ac:dyDescent="0.3">
      <c r="B219">
        <v>9</v>
      </c>
      <c r="C219" s="2" t="s">
        <v>664</v>
      </c>
      <c r="D219" t="s">
        <v>49</v>
      </c>
      <c r="E219" t="s">
        <v>51</v>
      </c>
      <c r="F219" s="6" t="s">
        <v>665</v>
      </c>
      <c r="H219">
        <f>30000+6000+10000</f>
        <v>46000</v>
      </c>
      <c r="K219" t="s">
        <v>666</v>
      </c>
    </row>
    <row r="220" spans="2:11" x14ac:dyDescent="0.3">
      <c r="B220">
        <v>10</v>
      </c>
      <c r="C220" s="2" t="s">
        <v>667</v>
      </c>
      <c r="D220" t="s">
        <v>668</v>
      </c>
      <c r="E220" t="s">
        <v>669</v>
      </c>
      <c r="F220" s="6" t="s">
        <v>665</v>
      </c>
      <c r="G220">
        <f>15000+6000</f>
        <v>21000</v>
      </c>
      <c r="H220">
        <v>15000</v>
      </c>
      <c r="I220">
        <f t="shared" ref="I220:I222" si="11">G220-H220</f>
        <v>6000</v>
      </c>
      <c r="J220" s="6" t="s">
        <v>673</v>
      </c>
      <c r="K220" t="s">
        <v>670</v>
      </c>
    </row>
    <row r="221" spans="2:11" x14ac:dyDescent="0.3">
      <c r="B221">
        <v>11</v>
      </c>
      <c r="C221" s="2" t="s">
        <v>59</v>
      </c>
      <c r="D221" t="s">
        <v>61</v>
      </c>
      <c r="E221" t="s">
        <v>60</v>
      </c>
      <c r="F221" s="6" t="s">
        <v>671</v>
      </c>
      <c r="H221">
        <v>6000</v>
      </c>
      <c r="K221" t="s">
        <v>672</v>
      </c>
    </row>
    <row r="222" spans="2:11" x14ac:dyDescent="0.3">
      <c r="B222">
        <v>12</v>
      </c>
      <c r="C222" s="2" t="s">
        <v>59</v>
      </c>
      <c r="D222" t="s">
        <v>164</v>
      </c>
      <c r="E222" t="s">
        <v>60</v>
      </c>
      <c r="G222">
        <v>6000</v>
      </c>
      <c r="H222">
        <v>6000</v>
      </c>
      <c r="I222">
        <f t="shared" si="11"/>
        <v>0</v>
      </c>
      <c r="K222" t="s">
        <v>689</v>
      </c>
    </row>
    <row r="223" spans="2:11" x14ac:dyDescent="0.3">
      <c r="B223">
        <v>13</v>
      </c>
      <c r="C223" s="2" t="s">
        <v>347</v>
      </c>
      <c r="D223" t="s">
        <v>332</v>
      </c>
      <c r="E223" t="s">
        <v>345</v>
      </c>
      <c r="F223" s="6" t="s">
        <v>679</v>
      </c>
      <c r="H223">
        <v>6000</v>
      </c>
      <c r="K223" t="s">
        <v>680</v>
      </c>
    </row>
    <row r="224" spans="2:11" x14ac:dyDescent="0.3">
      <c r="B224">
        <v>14</v>
      </c>
      <c r="C224" s="2" t="s">
        <v>354</v>
      </c>
      <c r="D224" t="s">
        <v>355</v>
      </c>
      <c r="E224" t="s">
        <v>12</v>
      </c>
      <c r="F224" s="6" t="s">
        <v>681</v>
      </c>
      <c r="H224">
        <v>8000</v>
      </c>
      <c r="K224" t="s">
        <v>682</v>
      </c>
    </row>
    <row r="225" spans="2:11" x14ac:dyDescent="0.3">
      <c r="B225">
        <v>15</v>
      </c>
      <c r="C225" s="2" t="s">
        <v>683</v>
      </c>
      <c r="D225" t="s">
        <v>684</v>
      </c>
      <c r="E225" t="s">
        <v>345</v>
      </c>
      <c r="F225" s="6" t="s">
        <v>685</v>
      </c>
      <c r="H225">
        <v>10000</v>
      </c>
      <c r="K225" t="s">
        <v>686</v>
      </c>
    </row>
    <row r="226" spans="2:11" x14ac:dyDescent="0.3">
      <c r="B226">
        <v>16</v>
      </c>
      <c r="C226" s="2" t="s">
        <v>690</v>
      </c>
      <c r="E226" t="s">
        <v>12</v>
      </c>
      <c r="F226" s="6" t="s">
        <v>691</v>
      </c>
      <c r="G226">
        <v>24000</v>
      </c>
      <c r="H226">
        <v>24000</v>
      </c>
      <c r="I226">
        <f t="shared" ref="I226" si="12">G226-H226</f>
        <v>0</v>
      </c>
      <c r="K226" t="s">
        <v>692</v>
      </c>
    </row>
    <row r="227" spans="2:11" x14ac:dyDescent="0.3">
      <c r="B227">
        <v>17</v>
      </c>
      <c r="C227" s="2" t="s">
        <v>281</v>
      </c>
      <c r="D227" t="s">
        <v>340</v>
      </c>
      <c r="E227" t="s">
        <v>12</v>
      </c>
      <c r="F227" s="6" t="s">
        <v>693</v>
      </c>
      <c r="H227">
        <v>6000</v>
      </c>
      <c r="K227" t="s">
        <v>694</v>
      </c>
    </row>
    <row r="228" spans="2:11" x14ac:dyDescent="0.3">
      <c r="B228">
        <v>18</v>
      </c>
      <c r="C228" s="2" t="s">
        <v>695</v>
      </c>
      <c r="D228" t="s">
        <v>696</v>
      </c>
      <c r="E228" t="s">
        <v>12</v>
      </c>
      <c r="F228" s="6" t="s">
        <v>697</v>
      </c>
      <c r="H228">
        <v>25000</v>
      </c>
      <c r="J228">
        <v>50000</v>
      </c>
      <c r="K228" t="s">
        <v>700</v>
      </c>
    </row>
    <row r="229" spans="2:11" x14ac:dyDescent="0.3">
      <c r="E229" s="120" t="s">
        <v>701</v>
      </c>
      <c r="F229" s="121"/>
      <c r="G229" s="121"/>
      <c r="H229" s="49">
        <f>SUM(H211:H228)</f>
        <v>315700</v>
      </c>
    </row>
    <row r="231" spans="2:11" x14ac:dyDescent="0.3">
      <c r="B231">
        <v>1</v>
      </c>
      <c r="C231" s="2" t="s">
        <v>695</v>
      </c>
      <c r="D231" t="s">
        <v>696</v>
      </c>
      <c r="E231" t="s">
        <v>12</v>
      </c>
      <c r="F231" s="6" t="s">
        <v>702</v>
      </c>
      <c r="G231">
        <v>132000</v>
      </c>
      <c r="H231">
        <f>28600+37400+36000+30000</f>
        <v>132000</v>
      </c>
      <c r="I231">
        <f t="shared" ref="I231:I232" si="13">G231-H231</f>
        <v>0</v>
      </c>
      <c r="K231" t="s">
        <v>751</v>
      </c>
    </row>
    <row r="232" spans="2:11" x14ac:dyDescent="0.3">
      <c r="B232">
        <v>2</v>
      </c>
      <c r="C232" s="2" t="s">
        <v>703</v>
      </c>
      <c r="D232" t="s">
        <v>704</v>
      </c>
      <c r="E232" t="s">
        <v>345</v>
      </c>
      <c r="F232" s="6" t="s">
        <v>705</v>
      </c>
      <c r="G232">
        <v>15000</v>
      </c>
      <c r="H232">
        <v>5000</v>
      </c>
      <c r="I232">
        <f t="shared" si="13"/>
        <v>10000</v>
      </c>
      <c r="K232" t="s">
        <v>706</v>
      </c>
    </row>
    <row r="233" spans="2:11" x14ac:dyDescent="0.3">
      <c r="B233">
        <v>3</v>
      </c>
      <c r="C233" s="2" t="s">
        <v>239</v>
      </c>
      <c r="H233">
        <f>25000+10282+1000+12500</f>
        <v>48782</v>
      </c>
      <c r="K233" t="s">
        <v>719</v>
      </c>
    </row>
    <row r="234" spans="2:11" x14ac:dyDescent="0.3">
      <c r="B234">
        <v>4</v>
      </c>
      <c r="C234" s="2" t="s">
        <v>711</v>
      </c>
      <c r="D234" t="s">
        <v>709</v>
      </c>
      <c r="E234" t="s">
        <v>710</v>
      </c>
      <c r="F234" s="6" t="s">
        <v>707</v>
      </c>
      <c r="G234">
        <v>0</v>
      </c>
      <c r="H234">
        <v>32000</v>
      </c>
      <c r="I234">
        <v>0</v>
      </c>
      <c r="K234" t="s">
        <v>712</v>
      </c>
    </row>
    <row r="235" spans="2:11" x14ac:dyDescent="0.3">
      <c r="B235">
        <v>5</v>
      </c>
      <c r="C235" s="2" t="s">
        <v>714</v>
      </c>
      <c r="D235" t="s">
        <v>715</v>
      </c>
      <c r="E235" t="s">
        <v>22</v>
      </c>
      <c r="F235" s="6" t="s">
        <v>716</v>
      </c>
      <c r="G235">
        <f>30000+4000</f>
        <v>34000</v>
      </c>
      <c r="H235">
        <v>34000</v>
      </c>
      <c r="I235">
        <f t="shared" ref="I235" si="14">G235-H235</f>
        <v>0</v>
      </c>
      <c r="K235" t="s">
        <v>723</v>
      </c>
    </row>
    <row r="236" spans="2:11" x14ac:dyDescent="0.3">
      <c r="B236">
        <v>6</v>
      </c>
      <c r="C236" s="2" t="s">
        <v>717</v>
      </c>
      <c r="D236" t="s">
        <v>164</v>
      </c>
      <c r="E236" t="s">
        <v>325</v>
      </c>
      <c r="F236" s="6" t="s">
        <v>716</v>
      </c>
      <c r="H236">
        <v>15000</v>
      </c>
      <c r="K236" t="s">
        <v>718</v>
      </c>
    </row>
    <row r="237" spans="2:11" x14ac:dyDescent="0.3">
      <c r="B237">
        <v>7</v>
      </c>
      <c r="C237" s="2" t="s">
        <v>576</v>
      </c>
      <c r="D237" t="s">
        <v>332</v>
      </c>
      <c r="E237" t="s">
        <v>51</v>
      </c>
      <c r="F237" s="6" t="s">
        <v>720</v>
      </c>
      <c r="H237">
        <v>6000</v>
      </c>
      <c r="K237" t="s">
        <v>721</v>
      </c>
    </row>
    <row r="238" spans="2:11" x14ac:dyDescent="0.3">
      <c r="B238">
        <v>8</v>
      </c>
      <c r="C238" s="2" t="s">
        <v>730</v>
      </c>
      <c r="E238" t="s">
        <v>731</v>
      </c>
      <c r="F238" s="6" t="s">
        <v>728</v>
      </c>
      <c r="H238">
        <v>116654</v>
      </c>
    </row>
    <row r="239" spans="2:11" x14ac:dyDescent="0.3">
      <c r="E239" s="120" t="s">
        <v>732</v>
      </c>
      <c r="F239" s="121"/>
      <c r="G239" s="121"/>
      <c r="H239" s="49">
        <f>SUM(H231:H238)</f>
        <v>389436</v>
      </c>
    </row>
    <row r="240" spans="2:11" x14ac:dyDescent="0.3">
      <c r="B240">
        <v>1</v>
      </c>
      <c r="C240" s="2" t="s">
        <v>248</v>
      </c>
      <c r="F240" s="5" t="s">
        <v>733</v>
      </c>
      <c r="H240">
        <v>30000</v>
      </c>
      <c r="K240" t="s">
        <v>734</v>
      </c>
    </row>
    <row r="241" spans="2:11" x14ac:dyDescent="0.3">
      <c r="B241">
        <v>2</v>
      </c>
      <c r="C241" s="2" t="s">
        <v>735</v>
      </c>
      <c r="F241" s="5" t="s">
        <v>733</v>
      </c>
      <c r="G241">
        <v>40000</v>
      </c>
      <c r="H241">
        <v>40000</v>
      </c>
      <c r="K241" t="s">
        <v>743</v>
      </c>
    </row>
    <row r="242" spans="2:11" x14ac:dyDescent="0.3">
      <c r="B242">
        <v>3</v>
      </c>
      <c r="C242" s="2" t="s">
        <v>736</v>
      </c>
      <c r="D242" t="s">
        <v>737</v>
      </c>
      <c r="E242" t="s">
        <v>738</v>
      </c>
      <c r="F242" s="6" t="s">
        <v>739</v>
      </c>
      <c r="G242">
        <f>35000+12000</f>
        <v>47000</v>
      </c>
      <c r="H242">
        <f>23000+24000</f>
        <v>47000</v>
      </c>
      <c r="I242">
        <f t="shared" ref="I242:I245" si="15">G242-H242</f>
        <v>0</v>
      </c>
      <c r="K242" t="s">
        <v>776</v>
      </c>
    </row>
    <row r="243" spans="2:11" x14ac:dyDescent="0.3">
      <c r="B243">
        <v>4</v>
      </c>
      <c r="C243" s="2" t="s">
        <v>239</v>
      </c>
      <c r="F243" s="6" t="s">
        <v>739</v>
      </c>
      <c r="G243">
        <f>4500+1500+800</f>
        <v>6800</v>
      </c>
      <c r="H243">
        <f>4500+1500+800</f>
        <v>6800</v>
      </c>
      <c r="I243">
        <f t="shared" si="15"/>
        <v>0</v>
      </c>
      <c r="K243" t="s">
        <v>1071</v>
      </c>
    </row>
    <row r="244" spans="2:11" x14ac:dyDescent="0.3">
      <c r="B244">
        <v>5</v>
      </c>
      <c r="C244" s="2" t="s">
        <v>740</v>
      </c>
      <c r="D244" t="s">
        <v>189</v>
      </c>
      <c r="E244" t="s">
        <v>12</v>
      </c>
      <c r="F244" s="6" t="s">
        <v>741</v>
      </c>
      <c r="H244">
        <v>13000</v>
      </c>
      <c r="K244" t="s">
        <v>742</v>
      </c>
    </row>
    <row r="245" spans="2:11" x14ac:dyDescent="0.3">
      <c r="B245">
        <v>6</v>
      </c>
      <c r="C245" s="2" t="s">
        <v>756</v>
      </c>
      <c r="D245" t="s">
        <v>11</v>
      </c>
      <c r="E245" t="s">
        <v>757</v>
      </c>
      <c r="F245" s="6" t="s">
        <v>750</v>
      </c>
      <c r="G245">
        <f>90000+6000-1000</f>
        <v>95000</v>
      </c>
      <c r="H245">
        <f>30000+20000+10000+15000+15000+5000</f>
        <v>95000</v>
      </c>
      <c r="I245">
        <f t="shared" si="15"/>
        <v>0</v>
      </c>
      <c r="K245" t="s">
        <v>810</v>
      </c>
    </row>
    <row r="246" spans="2:11" x14ac:dyDescent="0.3">
      <c r="B246">
        <v>7</v>
      </c>
      <c r="C246" s="2" t="s">
        <v>745</v>
      </c>
      <c r="D246" t="s">
        <v>654</v>
      </c>
      <c r="E246" t="s">
        <v>746</v>
      </c>
      <c r="F246" s="6" t="s">
        <v>747</v>
      </c>
      <c r="G246">
        <v>37000</v>
      </c>
      <c r="H246">
        <f>25000+12000</f>
        <v>37000</v>
      </c>
      <c r="I246">
        <f t="shared" ref="I246:I247" si="16">G246-H246</f>
        <v>0</v>
      </c>
      <c r="K246" t="s">
        <v>967</v>
      </c>
    </row>
    <row r="247" spans="2:11" x14ac:dyDescent="0.3">
      <c r="B247">
        <v>8</v>
      </c>
      <c r="C247" s="2" t="s">
        <v>761</v>
      </c>
      <c r="D247" t="s">
        <v>189</v>
      </c>
      <c r="E247" t="s">
        <v>762</v>
      </c>
      <c r="F247" s="6" t="s">
        <v>758</v>
      </c>
      <c r="G247">
        <v>425000</v>
      </c>
      <c r="H247">
        <f>300000+125000</f>
        <v>425000</v>
      </c>
      <c r="I247">
        <f t="shared" si="16"/>
        <v>0</v>
      </c>
      <c r="K247" t="s">
        <v>779</v>
      </c>
    </row>
    <row r="248" spans="2:11" x14ac:dyDescent="0.3">
      <c r="B248">
        <v>9</v>
      </c>
      <c r="C248" s="2" t="s">
        <v>442</v>
      </c>
      <c r="D248" t="s">
        <v>443</v>
      </c>
      <c r="E248" t="s">
        <v>12</v>
      </c>
      <c r="F248" s="6" t="s">
        <v>763</v>
      </c>
      <c r="H248">
        <v>8000</v>
      </c>
      <c r="K248" t="s">
        <v>764</v>
      </c>
    </row>
    <row r="249" spans="2:11" x14ac:dyDescent="0.3">
      <c r="E249" s="120" t="s">
        <v>808</v>
      </c>
      <c r="F249" s="121"/>
      <c r="G249" s="121"/>
      <c r="H249" s="49">
        <f>SUM(H240:H248)</f>
        <v>701800</v>
      </c>
    </row>
    <row r="251" spans="2:11" x14ac:dyDescent="0.3">
      <c r="B251">
        <v>1</v>
      </c>
      <c r="C251" s="2" t="s">
        <v>473</v>
      </c>
      <c r="D251" t="s">
        <v>765</v>
      </c>
      <c r="E251" t="s">
        <v>7</v>
      </c>
      <c r="F251" s="6" t="s">
        <v>767</v>
      </c>
      <c r="H251">
        <v>6000</v>
      </c>
      <c r="K251" t="s">
        <v>766</v>
      </c>
    </row>
    <row r="252" spans="2:11" x14ac:dyDescent="0.3">
      <c r="B252">
        <v>2</v>
      </c>
      <c r="C252" t="s">
        <v>771</v>
      </c>
      <c r="D252" t="s">
        <v>772</v>
      </c>
      <c r="E252" t="s">
        <v>773</v>
      </c>
      <c r="F252" s="6" t="s">
        <v>768</v>
      </c>
      <c r="H252">
        <v>12000</v>
      </c>
      <c r="K252" t="s">
        <v>770</v>
      </c>
    </row>
    <row r="253" spans="2:11" x14ac:dyDescent="0.3">
      <c r="B253">
        <v>3</v>
      </c>
      <c r="C253" t="s">
        <v>780</v>
      </c>
      <c r="F253" s="6" t="s">
        <v>769</v>
      </c>
      <c r="H253">
        <v>30000</v>
      </c>
      <c r="K253" t="s">
        <v>774</v>
      </c>
    </row>
    <row r="254" spans="2:11" x14ac:dyDescent="0.3">
      <c r="B254">
        <v>4</v>
      </c>
      <c r="C254" t="s">
        <v>777</v>
      </c>
      <c r="D254" t="s">
        <v>126</v>
      </c>
      <c r="E254" t="s">
        <v>39</v>
      </c>
      <c r="F254" s="6" t="s">
        <v>775</v>
      </c>
      <c r="H254">
        <v>6000</v>
      </c>
      <c r="K254" t="s">
        <v>778</v>
      </c>
    </row>
    <row r="255" spans="2:11" x14ac:dyDescent="0.3">
      <c r="B255">
        <v>5</v>
      </c>
      <c r="C255" t="s">
        <v>783</v>
      </c>
      <c r="D255" t="s">
        <v>100</v>
      </c>
      <c r="E255" t="s">
        <v>12</v>
      </c>
      <c r="F255" s="6" t="s">
        <v>782</v>
      </c>
      <c r="G255">
        <f>25000+3000+25000+6000</f>
        <v>59000</v>
      </c>
      <c r="H255">
        <f>25000+34000</f>
        <v>59000</v>
      </c>
      <c r="I255">
        <f t="shared" ref="I255:I259" si="17">G255-H255</f>
        <v>0</v>
      </c>
      <c r="K255" t="s">
        <v>822</v>
      </c>
    </row>
    <row r="256" spans="2:11" x14ac:dyDescent="0.3">
      <c r="B256">
        <v>6</v>
      </c>
      <c r="C256" t="s">
        <v>239</v>
      </c>
      <c r="H256">
        <v>2000</v>
      </c>
      <c r="K256" t="s">
        <v>784</v>
      </c>
    </row>
    <row r="257" spans="2:11" x14ac:dyDescent="0.3">
      <c r="B257">
        <v>7</v>
      </c>
      <c r="C257" t="s">
        <v>785</v>
      </c>
      <c r="D257" t="s">
        <v>789</v>
      </c>
      <c r="F257" s="6" t="s">
        <v>673</v>
      </c>
      <c r="G257">
        <f>30000+6000</f>
        <v>36000</v>
      </c>
      <c r="H257">
        <f>30000+6000</f>
        <v>36000</v>
      </c>
      <c r="I257">
        <f t="shared" si="17"/>
        <v>0</v>
      </c>
      <c r="K257" t="s">
        <v>1101</v>
      </c>
    </row>
    <row r="258" spans="2:11" x14ac:dyDescent="0.3">
      <c r="B258">
        <v>8</v>
      </c>
      <c r="C258" t="s">
        <v>786</v>
      </c>
      <c r="D258" t="s">
        <v>24</v>
      </c>
      <c r="E258" t="s">
        <v>787</v>
      </c>
      <c r="F258" s="6" t="s">
        <v>788</v>
      </c>
      <c r="G258">
        <f>25000+6000</f>
        <v>31000</v>
      </c>
      <c r="H258">
        <f>16000+15000</f>
        <v>31000</v>
      </c>
      <c r="I258">
        <f t="shared" si="17"/>
        <v>0</v>
      </c>
      <c r="K258" t="s">
        <v>840</v>
      </c>
    </row>
    <row r="259" spans="2:11" x14ac:dyDescent="0.3">
      <c r="B259">
        <v>9</v>
      </c>
      <c r="C259" t="s">
        <v>745</v>
      </c>
      <c r="D259" t="s">
        <v>654</v>
      </c>
      <c r="E259" t="s">
        <v>794</v>
      </c>
      <c r="F259" s="6" t="s">
        <v>795</v>
      </c>
      <c r="G259">
        <f>50000+12000-5000</f>
        <v>57000</v>
      </c>
      <c r="H259">
        <f>25000+32000</f>
        <v>57000</v>
      </c>
      <c r="I259">
        <f t="shared" si="17"/>
        <v>0</v>
      </c>
      <c r="K259" t="s">
        <v>839</v>
      </c>
    </row>
    <row r="260" spans="2:11" x14ac:dyDescent="0.3">
      <c r="B260">
        <v>10</v>
      </c>
      <c r="C260" s="21" t="s">
        <v>217</v>
      </c>
      <c r="D260" t="s">
        <v>18</v>
      </c>
      <c r="E260" t="s">
        <v>12</v>
      </c>
      <c r="F260" s="6" t="s">
        <v>803</v>
      </c>
      <c r="G260">
        <v>15000</v>
      </c>
      <c r="H260">
        <v>15000</v>
      </c>
      <c r="K260" t="s">
        <v>804</v>
      </c>
    </row>
    <row r="261" spans="2:11" x14ac:dyDescent="0.3">
      <c r="B261">
        <v>11</v>
      </c>
      <c r="C261" t="s">
        <v>394</v>
      </c>
      <c r="D261" t="s">
        <v>805</v>
      </c>
      <c r="E261" t="s">
        <v>12</v>
      </c>
      <c r="F261" s="6" t="s">
        <v>806</v>
      </c>
      <c r="H261">
        <v>12000</v>
      </c>
      <c r="K261" t="s">
        <v>807</v>
      </c>
    </row>
    <row r="262" spans="2:11" x14ac:dyDescent="0.3">
      <c r="E262" s="120" t="s">
        <v>809</v>
      </c>
      <c r="F262" s="121"/>
      <c r="G262" s="121"/>
      <c r="H262" s="49">
        <f>SUM(H251:H261)</f>
        <v>266000</v>
      </c>
    </row>
    <row r="264" spans="2:11" x14ac:dyDescent="0.3">
      <c r="B264">
        <v>1</v>
      </c>
      <c r="C264" t="s">
        <v>220</v>
      </c>
      <c r="D264" t="s">
        <v>811</v>
      </c>
      <c r="E264" t="s">
        <v>51</v>
      </c>
      <c r="F264" s="6" t="s">
        <v>812</v>
      </c>
      <c r="G264">
        <v>0</v>
      </c>
      <c r="H264">
        <v>12000</v>
      </c>
      <c r="K264" t="s">
        <v>813</v>
      </c>
    </row>
    <row r="265" spans="2:11" x14ac:dyDescent="0.3">
      <c r="B265">
        <v>2</v>
      </c>
      <c r="C265" t="s">
        <v>820</v>
      </c>
      <c r="D265" t="s">
        <v>364</v>
      </c>
      <c r="E265" t="s">
        <v>12</v>
      </c>
      <c r="F265" s="6" t="s">
        <v>816</v>
      </c>
      <c r="G265">
        <f>35000+12000</f>
        <v>47000</v>
      </c>
      <c r="H265">
        <v>42000</v>
      </c>
      <c r="K265" t="s">
        <v>821</v>
      </c>
    </row>
    <row r="266" spans="2:11" x14ac:dyDescent="0.3">
      <c r="B266">
        <v>3</v>
      </c>
      <c r="C266" t="s">
        <v>27</v>
      </c>
      <c r="D266" t="s">
        <v>28</v>
      </c>
      <c r="E266" t="s">
        <v>12</v>
      </c>
      <c r="F266" s="6" t="s">
        <v>884</v>
      </c>
      <c r="H266">
        <v>35000</v>
      </c>
      <c r="K266" t="s">
        <v>885</v>
      </c>
    </row>
    <row r="267" spans="2:11" x14ac:dyDescent="0.3">
      <c r="B267">
        <v>4</v>
      </c>
      <c r="C267" t="s">
        <v>886</v>
      </c>
      <c r="D267" t="s">
        <v>887</v>
      </c>
      <c r="E267" t="s">
        <v>888</v>
      </c>
      <c r="G267">
        <v>448500</v>
      </c>
      <c r="H267">
        <f>(200000+248500)-95500</f>
        <v>353000</v>
      </c>
      <c r="I267">
        <f t="shared" ref="I267" si="18">G267-H267</f>
        <v>95500</v>
      </c>
      <c r="J267">
        <f>21000+14500+17000+3000+11000+27000+2000</f>
        <v>95500</v>
      </c>
      <c r="K267" t="s">
        <v>1137</v>
      </c>
    </row>
    <row r="268" spans="2:11" x14ac:dyDescent="0.3">
      <c r="E268" s="120" t="s">
        <v>935</v>
      </c>
      <c r="F268" s="121"/>
      <c r="G268" s="121"/>
      <c r="H268" s="49">
        <f>SUM(H264:H267)</f>
        <v>442000</v>
      </c>
    </row>
    <row r="270" spans="2:11" x14ac:dyDescent="0.3">
      <c r="B270">
        <v>1</v>
      </c>
      <c r="C270" t="s">
        <v>310</v>
      </c>
      <c r="D270" t="s">
        <v>131</v>
      </c>
      <c r="E270" t="s">
        <v>311</v>
      </c>
      <c r="F270" s="6" t="s">
        <v>891</v>
      </c>
      <c r="G270">
        <v>24000</v>
      </c>
      <c r="H270">
        <v>24000</v>
      </c>
      <c r="I270">
        <f t="shared" ref="I270:I289" si="19">G270-H270</f>
        <v>0</v>
      </c>
      <c r="K270" t="s">
        <v>892</v>
      </c>
    </row>
    <row r="271" spans="2:11" x14ac:dyDescent="0.3">
      <c r="B271">
        <v>2</v>
      </c>
      <c r="C271" t="s">
        <v>263</v>
      </c>
      <c r="D271" t="s">
        <v>265</v>
      </c>
      <c r="E271" t="s">
        <v>264</v>
      </c>
      <c r="F271" s="6" t="s">
        <v>891</v>
      </c>
      <c r="G271">
        <v>6000</v>
      </c>
      <c r="H271">
        <v>6000</v>
      </c>
      <c r="I271">
        <f t="shared" si="19"/>
        <v>0</v>
      </c>
      <c r="K271" t="s">
        <v>1055</v>
      </c>
    </row>
    <row r="272" spans="2:11" x14ac:dyDescent="0.3">
      <c r="B272">
        <v>3</v>
      </c>
      <c r="C272" t="s">
        <v>894</v>
      </c>
      <c r="D272" t="s">
        <v>12</v>
      </c>
      <c r="E272" t="s">
        <v>895</v>
      </c>
      <c r="F272" s="6" t="s">
        <v>891</v>
      </c>
      <c r="G272">
        <v>10000</v>
      </c>
      <c r="H272">
        <v>10000</v>
      </c>
      <c r="I272">
        <f t="shared" si="19"/>
        <v>0</v>
      </c>
      <c r="K272" t="s">
        <v>896</v>
      </c>
    </row>
    <row r="273" spans="2:11" x14ac:dyDescent="0.3">
      <c r="B273">
        <v>4</v>
      </c>
      <c r="C273" t="s">
        <v>903</v>
      </c>
      <c r="D273" t="s">
        <v>12</v>
      </c>
      <c r="E273" t="s">
        <v>904</v>
      </c>
      <c r="F273" s="6" t="s">
        <v>905</v>
      </c>
      <c r="G273">
        <v>50000</v>
      </c>
      <c r="H273">
        <f>25000+25000</f>
        <v>50000</v>
      </c>
      <c r="I273">
        <f t="shared" si="19"/>
        <v>0</v>
      </c>
      <c r="K273" t="s">
        <v>919</v>
      </c>
    </row>
    <row r="274" spans="2:11" x14ac:dyDescent="0.3">
      <c r="B274">
        <v>5</v>
      </c>
      <c r="C274" s="77" t="s">
        <v>240</v>
      </c>
      <c r="D274" t="s">
        <v>119</v>
      </c>
      <c r="E274" t="s">
        <v>245</v>
      </c>
      <c r="F274" s="6" t="s">
        <v>924</v>
      </c>
      <c r="G274">
        <v>66800</v>
      </c>
      <c r="H274" s="78">
        <v>66800</v>
      </c>
      <c r="I274">
        <f t="shared" si="19"/>
        <v>0</v>
      </c>
      <c r="K274" t="s">
        <v>1203</v>
      </c>
    </row>
    <row r="275" spans="2:11" x14ac:dyDescent="0.3">
      <c r="B275">
        <v>6</v>
      </c>
      <c r="C275" s="77" t="s">
        <v>17</v>
      </c>
      <c r="D275" t="s">
        <v>18</v>
      </c>
      <c r="E275" t="s">
        <v>12</v>
      </c>
      <c r="F275" s="6" t="s">
        <v>925</v>
      </c>
      <c r="G275">
        <v>12000</v>
      </c>
      <c r="H275">
        <v>12000</v>
      </c>
      <c r="I275">
        <f t="shared" si="19"/>
        <v>0</v>
      </c>
      <c r="K275" t="s">
        <v>969</v>
      </c>
    </row>
    <row r="276" spans="2:11" x14ac:dyDescent="0.3">
      <c r="B276">
        <v>7</v>
      </c>
      <c r="C276" s="77" t="s">
        <v>10</v>
      </c>
      <c r="D276" t="s">
        <v>11</v>
      </c>
      <c r="E276" t="s">
        <v>12</v>
      </c>
      <c r="F276" s="6" t="s">
        <v>927</v>
      </c>
      <c r="G276">
        <f>72000+20000</f>
        <v>92000</v>
      </c>
      <c r="H276">
        <f>60000+5000+5000+10000+5000+7000</f>
        <v>92000</v>
      </c>
      <c r="I276">
        <f t="shared" si="19"/>
        <v>0</v>
      </c>
      <c r="K276" t="s">
        <v>1160</v>
      </c>
    </row>
    <row r="277" spans="2:11" x14ac:dyDescent="0.3">
      <c r="B277">
        <v>8</v>
      </c>
      <c r="C277" s="77" t="s">
        <v>10</v>
      </c>
      <c r="D277" t="s">
        <v>926</v>
      </c>
      <c r="E277" t="s">
        <v>12</v>
      </c>
      <c r="F277" s="6" t="s">
        <v>927</v>
      </c>
      <c r="G277">
        <f>72000+20000</f>
        <v>92000</v>
      </c>
      <c r="H277">
        <f>30000+30000+12000+20000</f>
        <v>92000</v>
      </c>
      <c r="I277">
        <f t="shared" si="19"/>
        <v>0</v>
      </c>
      <c r="K277" t="s">
        <v>1102</v>
      </c>
    </row>
    <row r="278" spans="2:11" x14ac:dyDescent="0.3">
      <c r="B278">
        <v>9</v>
      </c>
      <c r="C278" s="77" t="s">
        <v>928</v>
      </c>
      <c r="D278" t="s">
        <v>929</v>
      </c>
      <c r="E278" t="s">
        <v>12</v>
      </c>
      <c r="F278" s="6" t="s">
        <v>927</v>
      </c>
      <c r="G278">
        <v>12000</v>
      </c>
      <c r="H278">
        <v>12000</v>
      </c>
      <c r="I278">
        <f t="shared" si="19"/>
        <v>0</v>
      </c>
      <c r="K278" t="s">
        <v>957</v>
      </c>
    </row>
    <row r="279" spans="2:11" x14ac:dyDescent="0.3">
      <c r="B279">
        <v>10</v>
      </c>
      <c r="C279" s="77" t="s">
        <v>337</v>
      </c>
      <c r="D279" t="s">
        <v>338</v>
      </c>
      <c r="E279" t="s">
        <v>339</v>
      </c>
      <c r="F279" s="6" t="s">
        <v>930</v>
      </c>
      <c r="G279">
        <v>12000</v>
      </c>
      <c r="H279">
        <v>12000</v>
      </c>
      <c r="I279">
        <f t="shared" si="19"/>
        <v>0</v>
      </c>
      <c r="K279" t="s">
        <v>931</v>
      </c>
    </row>
    <row r="280" spans="2:11" x14ac:dyDescent="0.3">
      <c r="B280">
        <v>11</v>
      </c>
      <c r="C280" s="77" t="s">
        <v>932</v>
      </c>
      <c r="D280" t="s">
        <v>457</v>
      </c>
      <c r="E280" t="s">
        <v>12</v>
      </c>
      <c r="F280" s="6" t="s">
        <v>930</v>
      </c>
      <c r="G280">
        <f>1400*8+1400*3+6000-1400</f>
        <v>20000</v>
      </c>
      <c r="H280">
        <v>20000</v>
      </c>
      <c r="I280">
        <f t="shared" si="19"/>
        <v>0</v>
      </c>
      <c r="K280" t="s">
        <v>1014</v>
      </c>
    </row>
    <row r="281" spans="2:11" x14ac:dyDescent="0.3">
      <c r="B281">
        <v>12</v>
      </c>
      <c r="C281" s="77" t="s">
        <v>179</v>
      </c>
      <c r="D281" t="s">
        <v>61</v>
      </c>
      <c r="E281" t="s">
        <v>60</v>
      </c>
      <c r="F281" s="6" t="s">
        <v>930</v>
      </c>
      <c r="G281">
        <v>6000</v>
      </c>
      <c r="H281">
        <v>6000</v>
      </c>
      <c r="I281">
        <f t="shared" si="19"/>
        <v>0</v>
      </c>
      <c r="K281" t="s">
        <v>976</v>
      </c>
    </row>
    <row r="282" spans="2:11" x14ac:dyDescent="0.3">
      <c r="B282">
        <v>13</v>
      </c>
      <c r="C282" s="77" t="s">
        <v>933</v>
      </c>
      <c r="D282" t="s">
        <v>18</v>
      </c>
      <c r="E282" t="s">
        <v>12</v>
      </c>
      <c r="F282" s="6" t="s">
        <v>930</v>
      </c>
      <c r="G282">
        <f>1400*12</f>
        <v>16800</v>
      </c>
      <c r="H282">
        <v>16800</v>
      </c>
      <c r="I282">
        <f t="shared" si="19"/>
        <v>0</v>
      </c>
      <c r="K282" t="s">
        <v>962</v>
      </c>
    </row>
    <row r="283" spans="2:11" x14ac:dyDescent="0.3">
      <c r="B283">
        <v>14</v>
      </c>
      <c r="C283" s="77" t="s">
        <v>934</v>
      </c>
      <c r="D283" t="s">
        <v>58</v>
      </c>
      <c r="E283" t="s">
        <v>325</v>
      </c>
      <c r="F283" s="6" t="s">
        <v>930</v>
      </c>
      <c r="G283">
        <v>5000</v>
      </c>
      <c r="I283">
        <f t="shared" si="19"/>
        <v>5000</v>
      </c>
      <c r="K283" t="s">
        <v>936</v>
      </c>
    </row>
    <row r="284" spans="2:11" x14ac:dyDescent="0.3">
      <c r="B284">
        <v>15</v>
      </c>
      <c r="C284" s="77" t="s">
        <v>937</v>
      </c>
      <c r="D284" t="s">
        <v>340</v>
      </c>
      <c r="E284" t="s">
        <v>12</v>
      </c>
      <c r="F284" s="6" t="s">
        <v>938</v>
      </c>
      <c r="G284">
        <v>6000</v>
      </c>
      <c r="H284">
        <v>6000</v>
      </c>
      <c r="I284">
        <f t="shared" si="19"/>
        <v>0</v>
      </c>
      <c r="K284" t="s">
        <v>939</v>
      </c>
    </row>
    <row r="285" spans="2:11" x14ac:dyDescent="0.3">
      <c r="B285">
        <v>16</v>
      </c>
      <c r="C285" s="77" t="s">
        <v>953</v>
      </c>
      <c r="D285" t="s">
        <v>715</v>
      </c>
      <c r="E285" t="s">
        <v>22</v>
      </c>
      <c r="F285" s="6" t="s">
        <v>930</v>
      </c>
      <c r="G285">
        <v>12000</v>
      </c>
      <c r="H285">
        <v>12000</v>
      </c>
      <c r="I285">
        <f t="shared" si="19"/>
        <v>0</v>
      </c>
      <c r="K285" t="s">
        <v>940</v>
      </c>
    </row>
    <row r="286" spans="2:11" x14ac:dyDescent="0.3">
      <c r="B286">
        <v>17</v>
      </c>
      <c r="C286" s="4" t="s">
        <v>69</v>
      </c>
      <c r="D286" t="s">
        <v>5</v>
      </c>
      <c r="E286" t="s">
        <v>941</v>
      </c>
      <c r="F286" s="6" t="s">
        <v>930</v>
      </c>
      <c r="G286">
        <v>12000</v>
      </c>
      <c r="H286">
        <v>12000</v>
      </c>
      <c r="I286">
        <f t="shared" si="19"/>
        <v>0</v>
      </c>
      <c r="K286" t="s">
        <v>1422</v>
      </c>
    </row>
    <row r="287" spans="2:11" x14ac:dyDescent="0.3">
      <c r="B287">
        <v>18</v>
      </c>
      <c r="C287" t="s">
        <v>942</v>
      </c>
      <c r="D287" t="s">
        <v>134</v>
      </c>
      <c r="E287" t="s">
        <v>12</v>
      </c>
      <c r="F287" s="6" t="s">
        <v>930</v>
      </c>
      <c r="G287">
        <v>12000</v>
      </c>
      <c r="H287">
        <v>12000</v>
      </c>
      <c r="I287">
        <f t="shared" si="19"/>
        <v>0</v>
      </c>
      <c r="K287" t="s">
        <v>966</v>
      </c>
    </row>
    <row r="288" spans="2:11" x14ac:dyDescent="0.3">
      <c r="B288">
        <v>19</v>
      </c>
      <c r="C288" t="s">
        <v>27</v>
      </c>
      <c r="D288" t="s">
        <v>28</v>
      </c>
      <c r="E288" t="s">
        <v>12</v>
      </c>
      <c r="F288" s="6" t="s">
        <v>930</v>
      </c>
      <c r="G288">
        <v>13000</v>
      </c>
      <c r="H288">
        <v>13000</v>
      </c>
      <c r="I288">
        <f t="shared" si="19"/>
        <v>0</v>
      </c>
      <c r="K288" t="s">
        <v>1096</v>
      </c>
    </row>
    <row r="289" spans="2:11" x14ac:dyDescent="0.3">
      <c r="B289">
        <v>20</v>
      </c>
      <c r="C289" t="s">
        <v>695</v>
      </c>
      <c r="D289" t="s">
        <v>696</v>
      </c>
      <c r="E289" t="s">
        <v>12</v>
      </c>
      <c r="F289" s="6" t="s">
        <v>930</v>
      </c>
      <c r="G289">
        <f>12000*3+6000</f>
        <v>42000</v>
      </c>
      <c r="H289">
        <v>24000</v>
      </c>
      <c r="I289">
        <f t="shared" si="19"/>
        <v>18000</v>
      </c>
      <c r="K289" t="s">
        <v>1050</v>
      </c>
    </row>
    <row r="290" spans="2:11" x14ac:dyDescent="0.3">
      <c r="E290" s="120" t="s">
        <v>1044</v>
      </c>
      <c r="F290" s="121"/>
      <c r="G290" s="121"/>
      <c r="H290" s="49">
        <f>SUM(H270:H289)</f>
        <v>498600</v>
      </c>
    </row>
    <row r="292" spans="2:11" x14ac:dyDescent="0.3">
      <c r="B292">
        <v>1</v>
      </c>
      <c r="C292" t="s">
        <v>943</v>
      </c>
      <c r="D292" t="s">
        <v>944</v>
      </c>
      <c r="E292" t="s">
        <v>945</v>
      </c>
      <c r="F292" s="6" t="s">
        <v>947</v>
      </c>
      <c r="G292">
        <v>12000</v>
      </c>
      <c r="H292">
        <v>12000</v>
      </c>
      <c r="I292">
        <f t="shared" ref="I292:I319" si="20">G292-H292</f>
        <v>0</v>
      </c>
      <c r="K292" t="s">
        <v>1060</v>
      </c>
    </row>
    <row r="293" spans="2:11" x14ac:dyDescent="0.3">
      <c r="B293">
        <v>2</v>
      </c>
      <c r="C293" t="s">
        <v>943</v>
      </c>
      <c r="D293" t="s">
        <v>92</v>
      </c>
      <c r="E293" t="s">
        <v>946</v>
      </c>
      <c r="F293" s="6" t="s">
        <v>947</v>
      </c>
      <c r="G293">
        <v>12000</v>
      </c>
      <c r="H293">
        <v>12000</v>
      </c>
      <c r="I293">
        <f t="shared" si="20"/>
        <v>0</v>
      </c>
      <c r="K293" t="s">
        <v>1065</v>
      </c>
    </row>
    <row r="294" spans="2:11" x14ac:dyDescent="0.3">
      <c r="B294">
        <v>3</v>
      </c>
      <c r="C294" t="s">
        <v>648</v>
      </c>
      <c r="D294" t="s">
        <v>649</v>
      </c>
      <c r="E294" t="s">
        <v>46</v>
      </c>
      <c r="F294" s="6" t="s">
        <v>947</v>
      </c>
      <c r="G294">
        <v>12000</v>
      </c>
      <c r="H294">
        <v>12000</v>
      </c>
      <c r="I294">
        <f t="shared" si="20"/>
        <v>0</v>
      </c>
      <c r="K294" t="s">
        <v>1040</v>
      </c>
    </row>
    <row r="295" spans="2:11" x14ac:dyDescent="0.3">
      <c r="B295">
        <v>4</v>
      </c>
      <c r="C295" s="4" t="s">
        <v>683</v>
      </c>
      <c r="D295" t="s">
        <v>684</v>
      </c>
      <c r="E295" t="s">
        <v>51</v>
      </c>
      <c r="F295" s="6" t="s">
        <v>947</v>
      </c>
      <c r="G295">
        <v>12000</v>
      </c>
      <c r="H295">
        <v>12000</v>
      </c>
      <c r="I295">
        <f t="shared" si="20"/>
        <v>0</v>
      </c>
      <c r="K295" t="s">
        <v>968</v>
      </c>
    </row>
    <row r="296" spans="2:11" x14ac:dyDescent="0.3">
      <c r="B296">
        <v>5</v>
      </c>
      <c r="C296" t="s">
        <v>1000</v>
      </c>
      <c r="D296" t="s">
        <v>948</v>
      </c>
      <c r="E296" t="s">
        <v>12</v>
      </c>
      <c r="F296" s="6" t="s">
        <v>947</v>
      </c>
      <c r="G296">
        <f>(1400*12)+12000</f>
        <v>28800</v>
      </c>
      <c r="H296">
        <v>28800</v>
      </c>
      <c r="I296">
        <f t="shared" si="20"/>
        <v>0</v>
      </c>
      <c r="K296" t="s">
        <v>1001</v>
      </c>
    </row>
    <row r="297" spans="2:11" x14ac:dyDescent="0.3">
      <c r="B297">
        <v>6</v>
      </c>
      <c r="C297" t="s">
        <v>949</v>
      </c>
      <c r="D297" t="s">
        <v>94</v>
      </c>
      <c r="E297" t="s">
        <v>950</v>
      </c>
      <c r="F297" s="6" t="s">
        <v>947</v>
      </c>
      <c r="G297">
        <v>20000</v>
      </c>
      <c r="H297">
        <v>20000</v>
      </c>
      <c r="I297">
        <f t="shared" si="20"/>
        <v>0</v>
      </c>
      <c r="K297" t="s">
        <v>965</v>
      </c>
    </row>
    <row r="298" spans="2:11" x14ac:dyDescent="0.3">
      <c r="B298">
        <v>7</v>
      </c>
      <c r="C298" t="s">
        <v>951</v>
      </c>
      <c r="D298" t="s">
        <v>952</v>
      </c>
      <c r="E298" t="s">
        <v>12</v>
      </c>
      <c r="F298" s="6" t="s">
        <v>947</v>
      </c>
      <c r="G298">
        <v>12000</v>
      </c>
      <c r="H298">
        <v>12000</v>
      </c>
      <c r="I298">
        <f t="shared" si="20"/>
        <v>0</v>
      </c>
      <c r="K298" t="s">
        <v>1053</v>
      </c>
    </row>
    <row r="299" spans="2:11" x14ac:dyDescent="0.3">
      <c r="B299">
        <v>8</v>
      </c>
      <c r="C299" t="s">
        <v>100</v>
      </c>
      <c r="D299" t="s">
        <v>952</v>
      </c>
      <c r="E299" t="s">
        <v>12</v>
      </c>
      <c r="F299" s="6" t="s">
        <v>947</v>
      </c>
      <c r="G299">
        <v>12000</v>
      </c>
      <c r="H299">
        <v>12000</v>
      </c>
      <c r="I299">
        <f t="shared" si="20"/>
        <v>0</v>
      </c>
      <c r="K299" t="s">
        <v>1053</v>
      </c>
    </row>
    <row r="300" spans="2:11" x14ac:dyDescent="0.3">
      <c r="B300">
        <v>9</v>
      </c>
      <c r="C300" t="s">
        <v>344</v>
      </c>
      <c r="D300" t="s">
        <v>18</v>
      </c>
      <c r="E300" t="s">
        <v>51</v>
      </c>
      <c r="F300" s="6" t="s">
        <v>947</v>
      </c>
      <c r="G300">
        <v>6000</v>
      </c>
      <c r="H300">
        <v>6000</v>
      </c>
      <c r="I300">
        <f t="shared" si="20"/>
        <v>0</v>
      </c>
      <c r="K300" t="s">
        <v>1045</v>
      </c>
    </row>
    <row r="301" spans="2:11" x14ac:dyDescent="0.3">
      <c r="B301">
        <v>10</v>
      </c>
      <c r="C301" t="s">
        <v>9</v>
      </c>
      <c r="D301" t="s">
        <v>14</v>
      </c>
      <c r="E301" t="s">
        <v>12</v>
      </c>
      <c r="F301" s="6" t="s">
        <v>947</v>
      </c>
      <c r="G301">
        <f>12000*10-12000</f>
        <v>108000</v>
      </c>
      <c r="H301">
        <f>100000+8000</f>
        <v>108000</v>
      </c>
      <c r="I301">
        <f t="shared" si="20"/>
        <v>0</v>
      </c>
      <c r="K301" t="s">
        <v>1120</v>
      </c>
    </row>
    <row r="302" spans="2:11" x14ac:dyDescent="0.3">
      <c r="B302">
        <v>11</v>
      </c>
      <c r="C302" t="s">
        <v>23</v>
      </c>
      <c r="D302" t="s">
        <v>24</v>
      </c>
      <c r="E302" t="s">
        <v>12</v>
      </c>
      <c r="F302" s="6" t="s">
        <v>947</v>
      </c>
      <c r="G302">
        <f>(8*1500*12)+(5000*12)</f>
        <v>204000</v>
      </c>
      <c r="H302">
        <v>204000</v>
      </c>
      <c r="I302">
        <f t="shared" si="20"/>
        <v>0</v>
      </c>
      <c r="K302" t="s">
        <v>1006</v>
      </c>
    </row>
    <row r="303" spans="2:11" x14ac:dyDescent="0.3">
      <c r="B303">
        <v>12</v>
      </c>
      <c r="C303" t="s">
        <v>954</v>
      </c>
      <c r="D303" t="s">
        <v>488</v>
      </c>
      <c r="E303" t="s">
        <v>106</v>
      </c>
      <c r="F303" s="6" t="s">
        <v>947</v>
      </c>
      <c r="G303">
        <f>12000*2</f>
        <v>24000</v>
      </c>
      <c r="H303">
        <f>12000+12000</f>
        <v>24000</v>
      </c>
      <c r="I303">
        <f t="shared" si="20"/>
        <v>0</v>
      </c>
      <c r="K303" t="s">
        <v>1070</v>
      </c>
    </row>
    <row r="304" spans="2:11" x14ac:dyDescent="0.3">
      <c r="B304">
        <v>13</v>
      </c>
      <c r="C304" t="s">
        <v>955</v>
      </c>
      <c r="D304" t="s">
        <v>344</v>
      </c>
      <c r="E304" t="s">
        <v>956</v>
      </c>
      <c r="F304" s="6" t="s">
        <v>947</v>
      </c>
      <c r="G304">
        <v>12000</v>
      </c>
      <c r="H304">
        <v>12000</v>
      </c>
      <c r="I304">
        <f t="shared" si="20"/>
        <v>0</v>
      </c>
      <c r="K304" t="s">
        <v>991</v>
      </c>
    </row>
    <row r="305" spans="2:11" x14ac:dyDescent="0.3">
      <c r="B305">
        <v>14</v>
      </c>
      <c r="C305" t="s">
        <v>958</v>
      </c>
      <c r="D305" t="s">
        <v>197</v>
      </c>
      <c r="E305" t="s">
        <v>950</v>
      </c>
      <c r="F305" s="6" t="s">
        <v>959</v>
      </c>
      <c r="G305">
        <v>12000</v>
      </c>
      <c r="H305">
        <v>12000</v>
      </c>
      <c r="I305">
        <f t="shared" si="20"/>
        <v>0</v>
      </c>
      <c r="K305" t="s">
        <v>1008</v>
      </c>
    </row>
    <row r="306" spans="2:11" x14ac:dyDescent="0.3">
      <c r="B306">
        <v>15</v>
      </c>
      <c r="C306" t="s">
        <v>960</v>
      </c>
      <c r="D306" t="s">
        <v>961</v>
      </c>
      <c r="E306" t="s">
        <v>51</v>
      </c>
      <c r="F306" s="6" t="s">
        <v>959</v>
      </c>
      <c r="G306">
        <v>11000</v>
      </c>
      <c r="H306">
        <v>11000</v>
      </c>
      <c r="I306">
        <f t="shared" si="20"/>
        <v>0</v>
      </c>
      <c r="K306" t="s">
        <v>970</v>
      </c>
    </row>
    <row r="307" spans="2:11" x14ac:dyDescent="0.3">
      <c r="B307">
        <v>16</v>
      </c>
      <c r="C307" t="s">
        <v>487</v>
      </c>
      <c r="D307" t="s">
        <v>654</v>
      </c>
      <c r="E307" t="s">
        <v>46</v>
      </c>
      <c r="F307" s="6" t="s">
        <v>959</v>
      </c>
      <c r="G307">
        <v>6000</v>
      </c>
      <c r="H307">
        <v>6000</v>
      </c>
      <c r="I307">
        <f t="shared" si="20"/>
        <v>0</v>
      </c>
      <c r="K307" t="s">
        <v>963</v>
      </c>
    </row>
    <row r="308" spans="2:11" x14ac:dyDescent="0.3">
      <c r="B308">
        <v>17</v>
      </c>
      <c r="C308" t="s">
        <v>964</v>
      </c>
      <c r="D308" t="s">
        <v>164</v>
      </c>
      <c r="E308" t="s">
        <v>60</v>
      </c>
      <c r="F308" s="6" t="s">
        <v>959</v>
      </c>
      <c r="G308">
        <v>6000</v>
      </c>
      <c r="H308">
        <v>6000</v>
      </c>
      <c r="I308">
        <f t="shared" si="20"/>
        <v>0</v>
      </c>
      <c r="K308" t="s">
        <v>1069</v>
      </c>
    </row>
    <row r="309" spans="2:11" x14ac:dyDescent="0.3">
      <c r="B309">
        <v>18</v>
      </c>
      <c r="C309" t="s">
        <v>442</v>
      </c>
      <c r="D309" t="s">
        <v>443</v>
      </c>
      <c r="E309" t="s">
        <v>12</v>
      </c>
      <c r="F309" s="6" t="s">
        <v>947</v>
      </c>
      <c r="G309">
        <f>12000+(1200*12)</f>
        <v>26400</v>
      </c>
      <c r="H309">
        <f>14400+12000</f>
        <v>26400</v>
      </c>
      <c r="I309">
        <f t="shared" si="20"/>
        <v>0</v>
      </c>
      <c r="K309" t="s">
        <v>1042</v>
      </c>
    </row>
    <row r="310" spans="2:11" x14ac:dyDescent="0.3">
      <c r="B310">
        <v>19</v>
      </c>
      <c r="C310" t="s">
        <v>243</v>
      </c>
      <c r="D310" t="s">
        <v>26</v>
      </c>
      <c r="E310" t="s">
        <v>12</v>
      </c>
      <c r="F310" s="6" t="s">
        <v>947</v>
      </c>
      <c r="G310">
        <f>12000+(1200*12)</f>
        <v>26400</v>
      </c>
      <c r="H310">
        <v>10000</v>
      </c>
      <c r="I310">
        <f t="shared" si="20"/>
        <v>16400</v>
      </c>
      <c r="K310" t="s">
        <v>1100</v>
      </c>
    </row>
    <row r="311" spans="2:11" x14ac:dyDescent="0.3">
      <c r="B311" s="81">
        <v>20</v>
      </c>
      <c r="C311" s="81" t="s">
        <v>971</v>
      </c>
      <c r="D311" s="81" t="s">
        <v>972</v>
      </c>
      <c r="E311" s="81" t="s">
        <v>51</v>
      </c>
      <c r="F311" s="82" t="s">
        <v>973</v>
      </c>
      <c r="G311" s="81">
        <v>0</v>
      </c>
      <c r="H311" s="81">
        <v>35500</v>
      </c>
      <c r="I311" s="81">
        <v>0</v>
      </c>
      <c r="J311" s="81" t="s">
        <v>1041</v>
      </c>
      <c r="K311" t="s">
        <v>1082</v>
      </c>
    </row>
    <row r="312" spans="2:11" x14ac:dyDescent="0.3">
      <c r="B312">
        <v>21</v>
      </c>
      <c r="C312" t="s">
        <v>975</v>
      </c>
      <c r="D312" t="s">
        <v>80</v>
      </c>
      <c r="E312" t="s">
        <v>12</v>
      </c>
      <c r="F312" s="6" t="s">
        <v>974</v>
      </c>
      <c r="G312">
        <v>15000</v>
      </c>
      <c r="H312">
        <f>2000+11000</f>
        <v>13000</v>
      </c>
      <c r="I312">
        <f t="shared" si="20"/>
        <v>2000</v>
      </c>
      <c r="K312" t="s">
        <v>1046</v>
      </c>
    </row>
    <row r="313" spans="2:11" x14ac:dyDescent="0.3">
      <c r="B313">
        <v>22</v>
      </c>
      <c r="C313" t="s">
        <v>977</v>
      </c>
      <c r="D313" t="s">
        <v>978</v>
      </c>
      <c r="E313" t="s">
        <v>12</v>
      </c>
      <c r="F313" s="6" t="s">
        <v>979</v>
      </c>
      <c r="G313">
        <v>5000</v>
      </c>
      <c r="H313">
        <v>5000</v>
      </c>
      <c r="I313">
        <f t="shared" si="20"/>
        <v>0</v>
      </c>
      <c r="K313" t="s">
        <v>980</v>
      </c>
    </row>
    <row r="314" spans="2:11" x14ac:dyDescent="0.3">
      <c r="B314">
        <v>23</v>
      </c>
      <c r="C314" t="s">
        <v>402</v>
      </c>
      <c r="D314" t="s">
        <v>18</v>
      </c>
      <c r="E314" t="s">
        <v>992</v>
      </c>
      <c r="F314" s="6" t="s">
        <v>993</v>
      </c>
      <c r="G314">
        <v>12000</v>
      </c>
      <c r="H314">
        <v>12000</v>
      </c>
      <c r="I314">
        <f t="shared" si="20"/>
        <v>0</v>
      </c>
      <c r="K314" t="s">
        <v>994</v>
      </c>
    </row>
    <row r="315" spans="2:11" x14ac:dyDescent="0.3">
      <c r="B315">
        <v>24</v>
      </c>
      <c r="C315" t="s">
        <v>659</v>
      </c>
      <c r="D315" t="s">
        <v>995</v>
      </c>
      <c r="E315" t="s">
        <v>12</v>
      </c>
      <c r="F315" s="6" t="s">
        <v>993</v>
      </c>
      <c r="G315">
        <v>13000</v>
      </c>
      <c r="H315">
        <v>13000</v>
      </c>
      <c r="I315">
        <f t="shared" si="20"/>
        <v>0</v>
      </c>
      <c r="K315" t="s">
        <v>996</v>
      </c>
    </row>
    <row r="316" spans="2:11" x14ac:dyDescent="0.3">
      <c r="B316">
        <v>25</v>
      </c>
      <c r="C316" t="s">
        <v>84</v>
      </c>
      <c r="D316" t="s">
        <v>948</v>
      </c>
      <c r="E316" t="s">
        <v>12</v>
      </c>
      <c r="F316" s="6" t="s">
        <v>997</v>
      </c>
      <c r="G316">
        <f>16800+12000</f>
        <v>28800</v>
      </c>
      <c r="H316">
        <v>28800</v>
      </c>
      <c r="I316">
        <f t="shared" si="20"/>
        <v>0</v>
      </c>
      <c r="K316" t="s">
        <v>998</v>
      </c>
    </row>
    <row r="317" spans="2:11" x14ac:dyDescent="0.3">
      <c r="B317">
        <v>26</v>
      </c>
      <c r="C317" t="s">
        <v>1009</v>
      </c>
      <c r="D317" t="s">
        <v>1010</v>
      </c>
      <c r="E317" t="s">
        <v>1011</v>
      </c>
      <c r="G317">
        <v>12000</v>
      </c>
      <c r="H317">
        <f>2000+2000+7000+1000</f>
        <v>12000</v>
      </c>
      <c r="I317">
        <f t="shared" si="20"/>
        <v>0</v>
      </c>
      <c r="K317" t="s">
        <v>1136</v>
      </c>
    </row>
    <row r="318" spans="2:11" x14ac:dyDescent="0.3">
      <c r="B318">
        <v>27</v>
      </c>
      <c r="C318" t="s">
        <v>1012</v>
      </c>
      <c r="D318" t="s">
        <v>164</v>
      </c>
      <c r="E318" t="s">
        <v>325</v>
      </c>
      <c r="F318" s="6" t="s">
        <v>1013</v>
      </c>
      <c r="G318">
        <v>50000</v>
      </c>
      <c r="H318">
        <f>25000+25000</f>
        <v>50000</v>
      </c>
      <c r="I318">
        <f t="shared" si="20"/>
        <v>0</v>
      </c>
      <c r="K318" t="s">
        <v>1135</v>
      </c>
    </row>
    <row r="319" spans="2:11" x14ac:dyDescent="0.3">
      <c r="B319">
        <v>28</v>
      </c>
      <c r="C319" t="s">
        <v>1018</v>
      </c>
      <c r="D319" t="s">
        <v>654</v>
      </c>
      <c r="E319" t="s">
        <v>746</v>
      </c>
      <c r="F319" s="6" t="s">
        <v>1017</v>
      </c>
      <c r="G319">
        <f>50000+11000+25000+50000+25000+11000+7000</f>
        <v>179000</v>
      </c>
      <c r="H319">
        <f>22000+20000+25000+20000+20000+20000+15000+15000+22000</f>
        <v>179000</v>
      </c>
      <c r="I319">
        <f t="shared" si="20"/>
        <v>0</v>
      </c>
      <c r="K319" t="s">
        <v>1074</v>
      </c>
    </row>
    <row r="320" spans="2:11" x14ac:dyDescent="0.3">
      <c r="B320">
        <v>29</v>
      </c>
      <c r="C320" t="s">
        <v>1019</v>
      </c>
      <c r="D320" t="s">
        <v>1020</v>
      </c>
      <c r="E320" t="s">
        <v>1021</v>
      </c>
      <c r="F320" s="6" t="s">
        <v>1022</v>
      </c>
      <c r="H320">
        <v>24000</v>
      </c>
      <c r="K320" t="s">
        <v>1072</v>
      </c>
    </row>
    <row r="321" spans="2:11" x14ac:dyDescent="0.3">
      <c r="E321" s="120" t="s">
        <v>1043</v>
      </c>
      <c r="F321" s="121"/>
      <c r="G321" s="121"/>
      <c r="H321" s="49">
        <f>SUM(H292:H320)</f>
        <v>918500</v>
      </c>
    </row>
    <row r="323" spans="2:11" x14ac:dyDescent="0.3">
      <c r="B323">
        <v>1</v>
      </c>
      <c r="C323" t="s">
        <v>735</v>
      </c>
      <c r="E323" t="s">
        <v>12</v>
      </c>
      <c r="F323" s="6" t="s">
        <v>1051</v>
      </c>
      <c r="G323">
        <v>40000</v>
      </c>
      <c r="H323">
        <v>40000</v>
      </c>
      <c r="I323">
        <f t="shared" ref="I323:I326" si="21">G323-H323</f>
        <v>0</v>
      </c>
      <c r="K323" t="s">
        <v>1054</v>
      </c>
    </row>
    <row r="324" spans="2:11" x14ac:dyDescent="0.3">
      <c r="B324">
        <v>2</v>
      </c>
      <c r="C324" t="s">
        <v>1052</v>
      </c>
      <c r="E324" t="s">
        <v>12</v>
      </c>
      <c r="F324" s="6" t="s">
        <v>1051</v>
      </c>
      <c r="G324">
        <f>24000+5000</f>
        <v>29000</v>
      </c>
      <c r="H324">
        <v>29000</v>
      </c>
      <c r="I324">
        <f t="shared" si="21"/>
        <v>0</v>
      </c>
      <c r="K324" t="s">
        <v>1062</v>
      </c>
    </row>
    <row r="325" spans="2:11" x14ac:dyDescent="0.3">
      <c r="B325">
        <v>3</v>
      </c>
      <c r="C325" t="s">
        <v>1056</v>
      </c>
      <c r="D325" t="s">
        <v>18</v>
      </c>
      <c r="E325" t="s">
        <v>12</v>
      </c>
      <c r="F325" s="6" t="s">
        <v>1057</v>
      </c>
      <c r="G325">
        <v>16800</v>
      </c>
      <c r="H325">
        <v>16800</v>
      </c>
      <c r="I325">
        <f t="shared" si="21"/>
        <v>0</v>
      </c>
      <c r="K325" t="s">
        <v>1066</v>
      </c>
    </row>
    <row r="326" spans="2:11" x14ac:dyDescent="0.3">
      <c r="B326">
        <v>4</v>
      </c>
      <c r="C326" t="s">
        <v>363</v>
      </c>
      <c r="D326" t="s">
        <v>364</v>
      </c>
      <c r="E326" t="s">
        <v>12</v>
      </c>
      <c r="F326" s="6" t="s">
        <v>947</v>
      </c>
      <c r="G326">
        <v>18000</v>
      </c>
      <c r="I326">
        <f t="shared" si="21"/>
        <v>18000</v>
      </c>
      <c r="K326" t="s">
        <v>1061</v>
      </c>
    </row>
    <row r="327" spans="2:11" x14ac:dyDescent="0.3">
      <c r="B327">
        <v>5</v>
      </c>
      <c r="C327" t="s">
        <v>369</v>
      </c>
      <c r="D327" t="s">
        <v>370</v>
      </c>
      <c r="E327" t="s">
        <v>12</v>
      </c>
      <c r="F327" s="6" t="s">
        <v>1063</v>
      </c>
      <c r="G327">
        <v>12000</v>
      </c>
      <c r="H327">
        <v>12000</v>
      </c>
      <c r="K327" t="s">
        <v>1064</v>
      </c>
    </row>
    <row r="328" spans="2:11" x14ac:dyDescent="0.3">
      <c r="B328">
        <v>6</v>
      </c>
      <c r="C328" t="s">
        <v>239</v>
      </c>
      <c r="F328" s="6" t="s">
        <v>1067</v>
      </c>
      <c r="H328">
        <v>4500</v>
      </c>
      <c r="K328" t="s">
        <v>1068</v>
      </c>
    </row>
    <row r="329" spans="2:11" x14ac:dyDescent="0.3">
      <c r="E329" s="120" t="s">
        <v>1093</v>
      </c>
      <c r="F329" s="121"/>
      <c r="G329" s="121"/>
      <c r="H329" s="49">
        <f>SUM(H323:H328)</f>
        <v>102300</v>
      </c>
    </row>
    <row r="330" spans="2:11" x14ac:dyDescent="0.3">
      <c r="F330" s="6"/>
    </row>
    <row r="331" spans="2:11" x14ac:dyDescent="0.3">
      <c r="B331">
        <v>1</v>
      </c>
      <c r="C331" t="s">
        <v>366</v>
      </c>
      <c r="D331" t="s">
        <v>367</v>
      </c>
      <c r="E331" t="s">
        <v>12</v>
      </c>
      <c r="F331" s="6" t="s">
        <v>1073</v>
      </c>
      <c r="G331">
        <v>12000</v>
      </c>
      <c r="H331">
        <v>6000</v>
      </c>
      <c r="I331">
        <f t="shared" ref="I331" si="22">G331-H331</f>
        <v>6000</v>
      </c>
      <c r="K331" t="s">
        <v>1075</v>
      </c>
    </row>
    <row r="332" spans="2:11" x14ac:dyDescent="0.3">
      <c r="B332">
        <v>2</v>
      </c>
      <c r="C332" t="s">
        <v>1076</v>
      </c>
      <c r="D332" t="s">
        <v>1077</v>
      </c>
      <c r="E332" t="s">
        <v>1078</v>
      </c>
      <c r="F332" s="6" t="s">
        <v>1079</v>
      </c>
      <c r="G332">
        <f>30000+6000</f>
        <v>36000</v>
      </c>
      <c r="H332">
        <v>36000</v>
      </c>
      <c r="K332" t="s">
        <v>1080</v>
      </c>
    </row>
    <row r="333" spans="2:11" x14ac:dyDescent="0.3">
      <c r="B333">
        <v>3</v>
      </c>
      <c r="C333" t="s">
        <v>239</v>
      </c>
      <c r="F333" s="6" t="s">
        <v>1079</v>
      </c>
      <c r="H333">
        <f>7050+6000+4000</f>
        <v>17050</v>
      </c>
      <c r="K333" t="s">
        <v>1099</v>
      </c>
    </row>
    <row r="334" spans="2:11" x14ac:dyDescent="0.3">
      <c r="B334">
        <v>4</v>
      </c>
      <c r="C334" t="s">
        <v>1094</v>
      </c>
      <c r="D334" t="s">
        <v>1081</v>
      </c>
      <c r="E334" t="s">
        <v>773</v>
      </c>
      <c r="F334" s="6" t="s">
        <v>1079</v>
      </c>
      <c r="G334">
        <f>30000+10000+12000+15000+14400+25000</f>
        <v>106400</v>
      </c>
      <c r="H334">
        <v>100000</v>
      </c>
      <c r="I334">
        <f t="shared" ref="I334" si="23">G334-H334</f>
        <v>6400</v>
      </c>
      <c r="K334" t="s">
        <v>1095</v>
      </c>
    </row>
    <row r="335" spans="2:11" x14ac:dyDescent="0.3">
      <c r="B335">
        <v>5</v>
      </c>
      <c r="C335" t="s">
        <v>245</v>
      </c>
      <c r="D335" t="s">
        <v>464</v>
      </c>
      <c r="F335" s="6" t="s">
        <v>1079</v>
      </c>
      <c r="G335">
        <f>8500+7000+9000+4500+6000+19500+19000+10000+17000</f>
        <v>100500</v>
      </c>
    </row>
    <row r="336" spans="2:11" x14ac:dyDescent="0.3">
      <c r="B336">
        <v>6</v>
      </c>
      <c r="C336" t="s">
        <v>1018</v>
      </c>
      <c r="D336" t="s">
        <v>654</v>
      </c>
      <c r="E336" t="s">
        <v>746</v>
      </c>
      <c r="F336" s="6" t="s">
        <v>1083</v>
      </c>
      <c r="G336">
        <f>150000+10000+5000</f>
        <v>165000</v>
      </c>
      <c r="H336">
        <f>30000+15000+20000+15000+40000+45000</f>
        <v>165000</v>
      </c>
      <c r="I336">
        <f t="shared" ref="I336" si="24">G336-H336</f>
        <v>0</v>
      </c>
      <c r="K336" t="s">
        <v>1117</v>
      </c>
    </row>
    <row r="337" spans="2:11" x14ac:dyDescent="0.3">
      <c r="B337">
        <v>7</v>
      </c>
      <c r="C337" t="s">
        <v>1084</v>
      </c>
      <c r="D337" t="s">
        <v>1086</v>
      </c>
      <c r="E337" t="s">
        <v>1085</v>
      </c>
      <c r="F337" s="6" t="s">
        <v>1087</v>
      </c>
      <c r="G337">
        <v>29000</v>
      </c>
      <c r="H337">
        <v>29000</v>
      </c>
      <c r="K337" t="s">
        <v>1088</v>
      </c>
    </row>
    <row r="338" spans="2:11" x14ac:dyDescent="0.3">
      <c r="B338">
        <v>8</v>
      </c>
      <c r="C338" t="s">
        <v>1089</v>
      </c>
      <c r="D338" t="s">
        <v>1090</v>
      </c>
      <c r="E338" t="s">
        <v>1091</v>
      </c>
      <c r="F338" s="6" t="s">
        <v>1092</v>
      </c>
      <c r="G338">
        <f>20000+5000</f>
        <v>25000</v>
      </c>
      <c r="H338">
        <f>20000+5000</f>
        <v>25000</v>
      </c>
      <c r="K338" t="s">
        <v>1616</v>
      </c>
    </row>
    <row r="339" spans="2:11" x14ac:dyDescent="0.3">
      <c r="B339">
        <v>9</v>
      </c>
      <c r="C339" t="s">
        <v>1097</v>
      </c>
      <c r="D339" t="s">
        <v>1077</v>
      </c>
      <c r="E339" t="s">
        <v>1078</v>
      </c>
      <c r="F339" s="6" t="s">
        <v>1098</v>
      </c>
      <c r="G339">
        <v>36000</v>
      </c>
      <c r="H339">
        <f>20000+16000</f>
        <v>36000</v>
      </c>
      <c r="I339">
        <f t="shared" ref="I339" si="25">G339-H339</f>
        <v>0</v>
      </c>
      <c r="K339" t="s">
        <v>1108</v>
      </c>
    </row>
    <row r="340" spans="2:11" x14ac:dyDescent="0.3">
      <c r="E340" s="120" t="s">
        <v>1103</v>
      </c>
      <c r="F340" s="121"/>
      <c r="G340" s="121"/>
      <c r="H340" s="49">
        <f>SUM(H331:H339)</f>
        <v>414050</v>
      </c>
    </row>
    <row r="342" spans="2:11" x14ac:dyDescent="0.3">
      <c r="B342">
        <v>1</v>
      </c>
      <c r="C342" t="s">
        <v>473</v>
      </c>
      <c r="D342" t="s">
        <v>119</v>
      </c>
      <c r="E342" t="s">
        <v>7</v>
      </c>
      <c r="F342" s="6" t="s">
        <v>1104</v>
      </c>
      <c r="G342">
        <v>12000</v>
      </c>
      <c r="H342">
        <v>12000</v>
      </c>
      <c r="K342" t="s">
        <v>1107</v>
      </c>
    </row>
    <row r="343" spans="2:11" x14ac:dyDescent="0.3">
      <c r="B343">
        <v>2</v>
      </c>
      <c r="C343" t="s">
        <v>1105</v>
      </c>
      <c r="E343" t="s">
        <v>1106</v>
      </c>
      <c r="F343" s="6" t="s">
        <v>1104</v>
      </c>
      <c r="G343">
        <v>12000</v>
      </c>
      <c r="H343">
        <v>12000</v>
      </c>
      <c r="K343" t="s">
        <v>1112</v>
      </c>
    </row>
    <row r="344" spans="2:11" x14ac:dyDescent="0.3">
      <c r="B344">
        <v>3</v>
      </c>
      <c r="C344" t="s">
        <v>1109</v>
      </c>
      <c r="D344" t="s">
        <v>1110</v>
      </c>
      <c r="E344" t="s">
        <v>51</v>
      </c>
      <c r="F344" s="6" t="s">
        <v>1111</v>
      </c>
      <c r="G344">
        <v>6000</v>
      </c>
      <c r="K344" t="s">
        <v>1258</v>
      </c>
    </row>
    <row r="345" spans="2:11" x14ac:dyDescent="0.3">
      <c r="B345">
        <v>4</v>
      </c>
      <c r="C345" t="s">
        <v>785</v>
      </c>
      <c r="E345" t="s">
        <v>945</v>
      </c>
      <c r="F345" s="6" t="s">
        <v>1113</v>
      </c>
      <c r="G345">
        <v>6000</v>
      </c>
      <c r="H345">
        <v>6000</v>
      </c>
      <c r="K345" t="s">
        <v>1121</v>
      </c>
    </row>
    <row r="346" spans="2:11" x14ac:dyDescent="0.3">
      <c r="B346">
        <v>5</v>
      </c>
      <c r="C346" t="s">
        <v>239</v>
      </c>
      <c r="F346" s="6" t="s">
        <v>1114</v>
      </c>
      <c r="H346">
        <f>6000+700+3270</f>
        <v>9970</v>
      </c>
      <c r="K346" t="s">
        <v>1128</v>
      </c>
    </row>
    <row r="347" spans="2:11" x14ac:dyDescent="0.3">
      <c r="B347">
        <v>6</v>
      </c>
      <c r="C347" t="s">
        <v>576</v>
      </c>
      <c r="D347" t="s">
        <v>332</v>
      </c>
      <c r="E347" t="s">
        <v>1115</v>
      </c>
      <c r="F347" s="6" t="s">
        <v>1116</v>
      </c>
      <c r="G347">
        <f>12000+10800</f>
        <v>22800</v>
      </c>
      <c r="H347">
        <f>12000+10800</f>
        <v>22800</v>
      </c>
      <c r="I347">
        <f t="shared" ref="I347:I353" si="26">G347-H347</f>
        <v>0</v>
      </c>
      <c r="K347" t="s">
        <v>1140</v>
      </c>
    </row>
    <row r="348" spans="2:11" x14ac:dyDescent="0.3">
      <c r="B348">
        <v>7</v>
      </c>
      <c r="C348" t="s">
        <v>88</v>
      </c>
      <c r="D348" t="s">
        <v>18</v>
      </c>
      <c r="E348" t="s">
        <v>1115</v>
      </c>
      <c r="F348" s="6" t="s">
        <v>1116</v>
      </c>
      <c r="G348">
        <f>12000+10800</f>
        <v>22800</v>
      </c>
      <c r="H348">
        <f>12000+10800</f>
        <v>22800</v>
      </c>
      <c r="I348">
        <f t="shared" si="26"/>
        <v>0</v>
      </c>
      <c r="K348" t="s">
        <v>1139</v>
      </c>
    </row>
    <row r="349" spans="2:11" x14ac:dyDescent="0.3">
      <c r="B349">
        <v>8</v>
      </c>
      <c r="C349" t="s">
        <v>1118</v>
      </c>
      <c r="D349" t="s">
        <v>654</v>
      </c>
      <c r="E349" t="s">
        <v>746</v>
      </c>
      <c r="F349" s="6" t="s">
        <v>1119</v>
      </c>
      <c r="G349">
        <f>127000+20000+6000</f>
        <v>153000</v>
      </c>
      <c r="H349">
        <f>30000+30000+25000+20000+50000</f>
        <v>155000</v>
      </c>
      <c r="I349">
        <f t="shared" si="26"/>
        <v>-2000</v>
      </c>
      <c r="K349" t="s">
        <v>1170</v>
      </c>
    </row>
    <row r="350" spans="2:11" x14ac:dyDescent="0.3">
      <c r="B350">
        <v>9</v>
      </c>
      <c r="C350" t="s">
        <v>1122</v>
      </c>
      <c r="D350" t="s">
        <v>1123</v>
      </c>
      <c r="E350" t="s">
        <v>51</v>
      </c>
      <c r="F350" s="6" t="s">
        <v>1124</v>
      </c>
      <c r="H350">
        <v>12000</v>
      </c>
      <c r="K350" t="s">
        <v>1125</v>
      </c>
    </row>
    <row r="351" spans="2:11" x14ac:dyDescent="0.3">
      <c r="B351">
        <v>10</v>
      </c>
      <c r="C351" t="s">
        <v>1126</v>
      </c>
      <c r="D351" t="s">
        <v>1180</v>
      </c>
      <c r="E351" t="s">
        <v>746</v>
      </c>
      <c r="F351" s="6" t="s">
        <v>1127</v>
      </c>
      <c r="G351">
        <f>15000+6000</f>
        <v>21000</v>
      </c>
      <c r="H351">
        <v>15000</v>
      </c>
      <c r="I351" s="19">
        <f t="shared" si="26"/>
        <v>6000</v>
      </c>
      <c r="K351" t="s">
        <v>1141</v>
      </c>
    </row>
    <row r="352" spans="2:11" x14ac:dyDescent="0.3">
      <c r="B352">
        <v>11</v>
      </c>
      <c r="C352" t="s">
        <v>1130</v>
      </c>
      <c r="D352" t="s">
        <v>1131</v>
      </c>
      <c r="E352" t="s">
        <v>12</v>
      </c>
      <c r="F352" s="6" t="s">
        <v>1132</v>
      </c>
      <c r="G352">
        <f>25000+6000</f>
        <v>31000</v>
      </c>
      <c r="H352">
        <f>5000+20000</f>
        <v>25000</v>
      </c>
      <c r="I352" s="19">
        <f t="shared" si="26"/>
        <v>6000</v>
      </c>
      <c r="K352" t="s">
        <v>1146</v>
      </c>
    </row>
    <row r="353" spans="2:11" x14ac:dyDescent="0.3">
      <c r="B353">
        <v>12</v>
      </c>
      <c r="C353" t="s">
        <v>1133</v>
      </c>
      <c r="D353" t="s">
        <v>1134</v>
      </c>
      <c r="E353" t="s">
        <v>51</v>
      </c>
      <c r="F353" s="6" t="s">
        <v>1132</v>
      </c>
      <c r="G353">
        <v>139865</v>
      </c>
      <c r="H353">
        <f>30000+18000</f>
        <v>48000</v>
      </c>
      <c r="I353" s="19">
        <f t="shared" si="26"/>
        <v>91865</v>
      </c>
      <c r="K353" t="s">
        <v>1277</v>
      </c>
    </row>
    <row r="354" spans="2:11" x14ac:dyDescent="0.3">
      <c r="E354" s="120" t="s">
        <v>1138</v>
      </c>
      <c r="F354" s="121"/>
      <c r="G354" s="121"/>
      <c r="H354" s="49">
        <f>SUM(H342:H353)</f>
        <v>340570</v>
      </c>
    </row>
    <row r="356" spans="2:11" x14ac:dyDescent="0.3">
      <c r="B356">
        <v>1</v>
      </c>
      <c r="C356" t="s">
        <v>1142</v>
      </c>
      <c r="D356" t="s">
        <v>1143</v>
      </c>
      <c r="E356" t="s">
        <v>1144</v>
      </c>
      <c r="F356" s="6" t="s">
        <v>1145</v>
      </c>
      <c r="G356">
        <v>214000</v>
      </c>
      <c r="H356">
        <f>100000+114000</f>
        <v>214000</v>
      </c>
      <c r="I356">
        <f t="shared" ref="I356:I366" si="27">G356-H356</f>
        <v>0</v>
      </c>
      <c r="K356" t="s">
        <v>1161</v>
      </c>
    </row>
    <row r="357" spans="2:11" x14ac:dyDescent="0.3">
      <c r="B357">
        <v>2</v>
      </c>
      <c r="C357" s="83" t="s">
        <v>122</v>
      </c>
      <c r="D357" t="s">
        <v>123</v>
      </c>
      <c r="E357" t="s">
        <v>46</v>
      </c>
      <c r="F357" s="6" t="s">
        <v>1147</v>
      </c>
      <c r="H357">
        <v>12000</v>
      </c>
      <c r="K357" t="s">
        <v>1148</v>
      </c>
    </row>
    <row r="358" spans="2:11" x14ac:dyDescent="0.3">
      <c r="B358">
        <v>3</v>
      </c>
      <c r="C358" s="83" t="s">
        <v>1149</v>
      </c>
      <c r="E358" t="s">
        <v>12</v>
      </c>
      <c r="F358" s="6" t="s">
        <v>1150</v>
      </c>
      <c r="G358">
        <v>17000</v>
      </c>
      <c r="H358">
        <v>14000</v>
      </c>
      <c r="I358">
        <f t="shared" si="27"/>
        <v>3000</v>
      </c>
      <c r="K358" t="s">
        <v>1153</v>
      </c>
    </row>
    <row r="359" spans="2:11" x14ac:dyDescent="0.3">
      <c r="B359">
        <v>4</v>
      </c>
      <c r="C359" s="83" t="s">
        <v>217</v>
      </c>
      <c r="D359" t="s">
        <v>18</v>
      </c>
      <c r="E359" t="s">
        <v>12</v>
      </c>
      <c r="F359" s="6" t="s">
        <v>1154</v>
      </c>
      <c r="G359">
        <v>15000</v>
      </c>
      <c r="H359">
        <v>15000</v>
      </c>
      <c r="K359" t="s">
        <v>1155</v>
      </c>
    </row>
    <row r="360" spans="2:11" x14ac:dyDescent="0.3">
      <c r="B360">
        <v>5</v>
      </c>
      <c r="C360" s="83" t="s">
        <v>1156</v>
      </c>
      <c r="E360" t="s">
        <v>1157</v>
      </c>
      <c r="F360" s="6" t="s">
        <v>1158</v>
      </c>
      <c r="G360">
        <v>25000</v>
      </c>
      <c r="H360">
        <f>10000+14550</f>
        <v>24550</v>
      </c>
      <c r="I360">
        <f t="shared" si="27"/>
        <v>450</v>
      </c>
      <c r="K360" t="s">
        <v>1173</v>
      </c>
    </row>
    <row r="361" spans="2:11" x14ac:dyDescent="0.3">
      <c r="B361">
        <v>6</v>
      </c>
      <c r="C361" s="83" t="s">
        <v>239</v>
      </c>
      <c r="H361">
        <f>3000+4000</f>
        <v>7000</v>
      </c>
      <c r="K361" t="s">
        <v>1159</v>
      </c>
    </row>
    <row r="362" spans="2:11" x14ac:dyDescent="0.3">
      <c r="B362">
        <v>7</v>
      </c>
      <c r="C362" s="83" t="s">
        <v>1129</v>
      </c>
      <c r="D362" t="s">
        <v>24</v>
      </c>
      <c r="E362" t="s">
        <v>12</v>
      </c>
      <c r="F362" s="6" t="s">
        <v>1162</v>
      </c>
      <c r="G362">
        <f>40000+12000+15000+14400+37000+12000+15000+65000+18000+37000+12000</f>
        <v>277400</v>
      </c>
      <c r="H362">
        <f>27000+50000+53000+70000</f>
        <v>200000</v>
      </c>
      <c r="I362" s="19">
        <f t="shared" si="27"/>
        <v>77400</v>
      </c>
      <c r="K362" t="s">
        <v>1241</v>
      </c>
    </row>
    <row r="363" spans="2:11" x14ac:dyDescent="0.3">
      <c r="B363">
        <v>8</v>
      </c>
      <c r="C363" s="83" t="s">
        <v>1163</v>
      </c>
      <c r="D363" t="s">
        <v>1164</v>
      </c>
      <c r="E363" t="s">
        <v>12</v>
      </c>
      <c r="F363" s="6" t="s">
        <v>1165</v>
      </c>
      <c r="G363">
        <v>70000</v>
      </c>
      <c r="H363">
        <f>50000+20000</f>
        <v>70000</v>
      </c>
      <c r="I363">
        <f t="shared" si="27"/>
        <v>0</v>
      </c>
      <c r="K363" t="s">
        <v>1213</v>
      </c>
    </row>
    <row r="364" spans="2:11" x14ac:dyDescent="0.3">
      <c r="B364">
        <v>9</v>
      </c>
      <c r="C364" s="4" t="s">
        <v>360</v>
      </c>
      <c r="D364" t="s">
        <v>18</v>
      </c>
      <c r="E364" t="s">
        <v>12</v>
      </c>
      <c r="F364" s="6" t="s">
        <v>1166</v>
      </c>
      <c r="G364">
        <v>23600</v>
      </c>
      <c r="H364">
        <v>23000</v>
      </c>
      <c r="K364" t="s">
        <v>1172</v>
      </c>
    </row>
    <row r="365" spans="2:11" x14ac:dyDescent="0.3">
      <c r="B365">
        <v>10</v>
      </c>
      <c r="C365" s="4" t="s">
        <v>1168</v>
      </c>
      <c r="D365" t="s">
        <v>192</v>
      </c>
      <c r="E365" t="s">
        <v>12</v>
      </c>
      <c r="F365" s="6" t="s">
        <v>1165</v>
      </c>
      <c r="G365">
        <v>7200</v>
      </c>
      <c r="H365">
        <v>7200</v>
      </c>
      <c r="I365">
        <f t="shared" si="27"/>
        <v>0</v>
      </c>
      <c r="K365" t="s">
        <v>1179</v>
      </c>
    </row>
    <row r="366" spans="2:11" x14ac:dyDescent="0.3">
      <c r="B366">
        <v>11</v>
      </c>
      <c r="C366" s="4" t="s">
        <v>1169</v>
      </c>
      <c r="D366" t="s">
        <v>654</v>
      </c>
      <c r="E366" t="s">
        <v>746</v>
      </c>
      <c r="F366" s="6" t="s">
        <v>1171</v>
      </c>
      <c r="G366">
        <f>50000+7000+50000+7000+20000+3500+6000+57500-5000</f>
        <v>196000</v>
      </c>
      <c r="H366">
        <f>2000+29000+25000+30000+30000+20000+25000+20000+15000</f>
        <v>196000</v>
      </c>
      <c r="I366">
        <f t="shared" si="27"/>
        <v>0</v>
      </c>
      <c r="K366" t="s">
        <v>1297</v>
      </c>
    </row>
    <row r="367" spans="2:11" x14ac:dyDescent="0.3">
      <c r="C367" s="4"/>
      <c r="E367" s="120" t="s">
        <v>1174</v>
      </c>
      <c r="F367" s="121"/>
      <c r="G367" s="121"/>
      <c r="H367" s="49">
        <f>SUM(H356:H366)</f>
        <v>782750</v>
      </c>
    </row>
    <row r="369" spans="2:11" x14ac:dyDescent="0.3">
      <c r="B369">
        <v>1</v>
      </c>
      <c r="C369" t="s">
        <v>188</v>
      </c>
      <c r="D369" t="s">
        <v>189</v>
      </c>
      <c r="E369" t="s">
        <v>12</v>
      </c>
      <c r="F369" s="6" t="s">
        <v>1175</v>
      </c>
      <c r="G369">
        <v>12000</v>
      </c>
      <c r="H369">
        <v>10000</v>
      </c>
      <c r="I369">
        <f t="shared" ref="I369:I371" si="28">G369-H369</f>
        <v>2000</v>
      </c>
      <c r="K369" t="s">
        <v>1577</v>
      </c>
    </row>
    <row r="370" spans="2:11" x14ac:dyDescent="0.3">
      <c r="B370">
        <v>2</v>
      </c>
      <c r="C370" t="s">
        <v>610</v>
      </c>
      <c r="D370" t="s">
        <v>1176</v>
      </c>
      <c r="E370" t="s">
        <v>12</v>
      </c>
      <c r="F370" s="6" t="s">
        <v>1178</v>
      </c>
      <c r="G370">
        <v>12000</v>
      </c>
      <c r="I370">
        <f t="shared" si="28"/>
        <v>12000</v>
      </c>
      <c r="K370" t="s">
        <v>1177</v>
      </c>
    </row>
    <row r="371" spans="2:11" x14ac:dyDescent="0.3">
      <c r="B371">
        <v>3</v>
      </c>
      <c r="C371" t="s">
        <v>1181</v>
      </c>
      <c r="F371" s="6" t="s">
        <v>1182</v>
      </c>
      <c r="G371">
        <v>6000</v>
      </c>
      <c r="H371">
        <v>6000</v>
      </c>
      <c r="I371">
        <f t="shared" si="28"/>
        <v>0</v>
      </c>
      <c r="K371" t="s">
        <v>1183</v>
      </c>
    </row>
    <row r="372" spans="2:11" x14ac:dyDescent="0.3">
      <c r="B372">
        <v>4</v>
      </c>
      <c r="C372" t="s">
        <v>1184</v>
      </c>
      <c r="D372" t="s">
        <v>61</v>
      </c>
      <c r="E372" t="s">
        <v>60</v>
      </c>
      <c r="F372" s="6" t="s">
        <v>1185</v>
      </c>
      <c r="G372">
        <v>6000</v>
      </c>
      <c r="H372">
        <v>6000</v>
      </c>
      <c r="K372" t="s">
        <v>1186</v>
      </c>
    </row>
    <row r="373" spans="2:11" x14ac:dyDescent="0.3">
      <c r="B373">
        <v>5</v>
      </c>
      <c r="C373" t="s">
        <v>1188</v>
      </c>
      <c r="D373" t="s">
        <v>1187</v>
      </c>
      <c r="F373" s="6" t="s">
        <v>1189</v>
      </c>
      <c r="G373">
        <v>6000</v>
      </c>
      <c r="H373">
        <v>6000</v>
      </c>
      <c r="K373" t="s">
        <v>1190</v>
      </c>
    </row>
    <row r="374" spans="2:11" x14ac:dyDescent="0.3">
      <c r="B374">
        <v>6</v>
      </c>
      <c r="C374" t="s">
        <v>1222</v>
      </c>
      <c r="D374" t="s">
        <v>654</v>
      </c>
      <c r="E374" t="s">
        <v>746</v>
      </c>
      <c r="F374" s="6" t="s">
        <v>1175</v>
      </c>
      <c r="G374">
        <v>45000</v>
      </c>
      <c r="H374">
        <v>45000</v>
      </c>
      <c r="K374" t="s">
        <v>1223</v>
      </c>
    </row>
    <row r="375" spans="2:11" x14ac:dyDescent="0.3">
      <c r="E375" s="120" t="s">
        <v>1191</v>
      </c>
      <c r="F375" s="121"/>
      <c r="G375" s="121"/>
      <c r="H375" s="49">
        <f>SUM(H369:H374)</f>
        <v>73000</v>
      </c>
    </row>
    <row r="377" spans="2:11" x14ac:dyDescent="0.3">
      <c r="B377">
        <v>1</v>
      </c>
      <c r="C377" t="s">
        <v>653</v>
      </c>
      <c r="D377" t="s">
        <v>654</v>
      </c>
      <c r="E377" t="s">
        <v>46</v>
      </c>
      <c r="F377" s="6" t="s">
        <v>1192</v>
      </c>
      <c r="G377">
        <v>6000</v>
      </c>
      <c r="H377">
        <v>6000</v>
      </c>
      <c r="I377">
        <f t="shared" ref="I377:I390" si="29">G377-H377</f>
        <v>0</v>
      </c>
      <c r="K377" t="s">
        <v>1193</v>
      </c>
    </row>
    <row r="378" spans="2:11" x14ac:dyDescent="0.3">
      <c r="B378">
        <v>2</v>
      </c>
      <c r="C378" t="s">
        <v>1194</v>
      </c>
      <c r="D378" t="s">
        <v>1195</v>
      </c>
      <c r="E378" t="s">
        <v>1196</v>
      </c>
      <c r="F378" s="6" t="s">
        <v>1192</v>
      </c>
      <c r="G378">
        <f>35000+12000</f>
        <v>47000</v>
      </c>
      <c r="H378">
        <f>10000</f>
        <v>10000</v>
      </c>
      <c r="I378">
        <f t="shared" si="29"/>
        <v>37000</v>
      </c>
      <c r="K378" t="s">
        <v>1197</v>
      </c>
    </row>
    <row r="379" spans="2:11" x14ac:dyDescent="0.3">
      <c r="B379">
        <v>3</v>
      </c>
      <c r="C379" t="s">
        <v>204</v>
      </c>
      <c r="D379" t="s">
        <v>1198</v>
      </c>
      <c r="E379" t="s">
        <v>12</v>
      </c>
      <c r="F379" s="6" t="s">
        <v>1199</v>
      </c>
      <c r="G379">
        <v>40000</v>
      </c>
      <c r="H379">
        <v>40000</v>
      </c>
      <c r="I379">
        <f t="shared" si="29"/>
        <v>0</v>
      </c>
      <c r="K379" t="s">
        <v>1216</v>
      </c>
    </row>
    <row r="380" spans="2:11" x14ac:dyDescent="0.3">
      <c r="B380">
        <v>4</v>
      </c>
      <c r="C380" t="s">
        <v>248</v>
      </c>
      <c r="D380" t="s">
        <v>1198</v>
      </c>
      <c r="E380" t="s">
        <v>888</v>
      </c>
      <c r="F380" s="6" t="s">
        <v>1189</v>
      </c>
      <c r="G380">
        <v>48000</v>
      </c>
      <c r="H380">
        <v>48000</v>
      </c>
      <c r="I380">
        <f t="shared" si="29"/>
        <v>0</v>
      </c>
      <c r="K380" t="s">
        <v>1207</v>
      </c>
    </row>
    <row r="381" spans="2:11" x14ac:dyDescent="0.3">
      <c r="B381">
        <v>5</v>
      </c>
      <c r="C381" t="s">
        <v>366</v>
      </c>
      <c r="D381" t="s">
        <v>367</v>
      </c>
      <c r="E381" t="s">
        <v>12</v>
      </c>
      <c r="F381" s="6" t="s">
        <v>1200</v>
      </c>
      <c r="G381">
        <v>6000</v>
      </c>
      <c r="H381">
        <v>6000</v>
      </c>
      <c r="I381">
        <f t="shared" si="29"/>
        <v>0</v>
      </c>
      <c r="K381" t="s">
        <v>1201</v>
      </c>
    </row>
    <row r="382" spans="2:11" x14ac:dyDescent="0.3">
      <c r="B382">
        <v>6</v>
      </c>
      <c r="C382" t="s">
        <v>1184</v>
      </c>
      <c r="D382" t="s">
        <v>164</v>
      </c>
      <c r="E382" t="s">
        <v>60</v>
      </c>
      <c r="F382" s="6" t="s">
        <v>1200</v>
      </c>
      <c r="G382">
        <v>6000</v>
      </c>
      <c r="H382">
        <v>6000</v>
      </c>
      <c r="I382">
        <f t="shared" si="29"/>
        <v>0</v>
      </c>
      <c r="K382" t="s">
        <v>1235</v>
      </c>
    </row>
    <row r="383" spans="2:11" x14ac:dyDescent="0.3">
      <c r="B383">
        <v>7</v>
      </c>
      <c r="C383" t="s">
        <v>695</v>
      </c>
      <c r="D383" t="s">
        <v>1202</v>
      </c>
      <c r="E383" t="s">
        <v>12</v>
      </c>
      <c r="F383" s="6" t="s">
        <v>1189</v>
      </c>
      <c r="G383">
        <v>18000</v>
      </c>
      <c r="H383">
        <v>18000</v>
      </c>
      <c r="I383">
        <f t="shared" si="29"/>
        <v>0</v>
      </c>
      <c r="K383" t="s">
        <v>1208</v>
      </c>
    </row>
    <row r="384" spans="2:11" x14ac:dyDescent="0.3">
      <c r="B384">
        <v>8</v>
      </c>
      <c r="C384" t="s">
        <v>1204</v>
      </c>
      <c r="D384" t="s">
        <v>1205</v>
      </c>
      <c r="E384" t="s">
        <v>12</v>
      </c>
      <c r="F384" s="6" t="s">
        <v>1206</v>
      </c>
      <c r="G384">
        <f>75000-31000</f>
        <v>44000</v>
      </c>
      <c r="H384">
        <v>44000</v>
      </c>
      <c r="I384">
        <f t="shared" si="29"/>
        <v>0</v>
      </c>
      <c r="K384" t="s">
        <v>1219</v>
      </c>
    </row>
    <row r="385" spans="2:11" x14ac:dyDescent="0.3">
      <c r="B385">
        <v>9</v>
      </c>
      <c r="C385" t="s">
        <v>1505</v>
      </c>
      <c r="D385" t="s">
        <v>1354</v>
      </c>
      <c r="E385" t="s">
        <v>245</v>
      </c>
      <c r="F385" s="6" t="s">
        <v>1206</v>
      </c>
      <c r="G385">
        <v>58800</v>
      </c>
      <c r="H385">
        <v>58800</v>
      </c>
      <c r="I385">
        <f t="shared" si="29"/>
        <v>0</v>
      </c>
      <c r="K385" t="s">
        <v>1311</v>
      </c>
    </row>
    <row r="386" spans="2:11" x14ac:dyDescent="0.3">
      <c r="B386">
        <v>10</v>
      </c>
      <c r="C386" t="s">
        <v>1504</v>
      </c>
      <c r="D386" t="s">
        <v>1354</v>
      </c>
      <c r="E386" t="s">
        <v>245</v>
      </c>
      <c r="G386">
        <f>25000+12000+35000+12000</f>
        <v>84000</v>
      </c>
      <c r="H386">
        <f>37000+47000</f>
        <v>84000</v>
      </c>
      <c r="I386">
        <f t="shared" si="29"/>
        <v>0</v>
      </c>
      <c r="K386" t="s">
        <v>1327</v>
      </c>
    </row>
    <row r="387" spans="2:11" x14ac:dyDescent="0.3">
      <c r="B387">
        <v>11</v>
      </c>
      <c r="C387" t="s">
        <v>730</v>
      </c>
      <c r="D387" t="s">
        <v>730</v>
      </c>
      <c r="E387" t="s">
        <v>1209</v>
      </c>
      <c r="F387" s="6" t="s">
        <v>1210</v>
      </c>
      <c r="G387">
        <f>970*156.3</f>
        <v>151611</v>
      </c>
      <c r="H387">
        <v>151611</v>
      </c>
      <c r="I387">
        <f t="shared" si="29"/>
        <v>0</v>
      </c>
      <c r="K387" t="s">
        <v>1242</v>
      </c>
    </row>
    <row r="388" spans="2:11" x14ac:dyDescent="0.3">
      <c r="B388">
        <v>12</v>
      </c>
      <c r="C388" t="s">
        <v>377</v>
      </c>
      <c r="D388" t="s">
        <v>119</v>
      </c>
      <c r="H388">
        <f>40000+50000</f>
        <v>90000</v>
      </c>
      <c r="K388" t="s">
        <v>1233</v>
      </c>
    </row>
    <row r="389" spans="2:11" x14ac:dyDescent="0.3">
      <c r="B389">
        <v>13</v>
      </c>
      <c r="C389" t="s">
        <v>1211</v>
      </c>
      <c r="D389" t="s">
        <v>164</v>
      </c>
      <c r="E389" t="s">
        <v>51</v>
      </c>
      <c r="G389">
        <f>12000+15000+14400</f>
        <v>41400</v>
      </c>
      <c r="H389">
        <v>41400</v>
      </c>
      <c r="I389">
        <f t="shared" si="29"/>
        <v>0</v>
      </c>
      <c r="K389" t="s">
        <v>1374</v>
      </c>
    </row>
    <row r="390" spans="2:11" x14ac:dyDescent="0.3">
      <c r="B390">
        <v>14</v>
      </c>
      <c r="C390" t="s">
        <v>1212</v>
      </c>
      <c r="D390" t="s">
        <v>1214</v>
      </c>
      <c r="E390" t="s">
        <v>51</v>
      </c>
      <c r="F390" s="6" t="s">
        <v>1215</v>
      </c>
      <c r="G390">
        <f>110000+25000+10500</f>
        <v>145500</v>
      </c>
      <c r="H390">
        <f>50000+25000+30000+23000</f>
        <v>128000</v>
      </c>
      <c r="I390">
        <f t="shared" si="29"/>
        <v>17500</v>
      </c>
      <c r="K390" t="s">
        <v>1588</v>
      </c>
    </row>
    <row r="391" spans="2:11" x14ac:dyDescent="0.3">
      <c r="E391" s="120" t="s">
        <v>1220</v>
      </c>
      <c r="F391" s="121"/>
      <c r="G391" s="121"/>
      <c r="H391" s="49">
        <f>SUM(H377:H390)</f>
        <v>731811</v>
      </c>
    </row>
    <row r="395" spans="2:11" x14ac:dyDescent="0.3">
      <c r="B395">
        <v>1</v>
      </c>
      <c r="C395" t="s">
        <v>1218</v>
      </c>
      <c r="D395" t="s">
        <v>1217</v>
      </c>
      <c r="E395" t="s">
        <v>432</v>
      </c>
      <c r="G395">
        <v>20000</v>
      </c>
      <c r="H395">
        <v>20000</v>
      </c>
      <c r="I395">
        <f>G395-H395</f>
        <v>0</v>
      </c>
      <c r="K395" t="s">
        <v>1221</v>
      </c>
    </row>
    <row r="396" spans="2:11" x14ac:dyDescent="0.3">
      <c r="B396">
        <v>2</v>
      </c>
      <c r="C396" t="s">
        <v>1224</v>
      </c>
      <c r="D396" t="s">
        <v>1225</v>
      </c>
      <c r="E396" t="s">
        <v>12</v>
      </c>
      <c r="F396" s="6" t="s">
        <v>1226</v>
      </c>
      <c r="G396">
        <v>50000</v>
      </c>
      <c r="H396">
        <f>25000+25000</f>
        <v>50000</v>
      </c>
      <c r="I396">
        <f>G396-H396</f>
        <v>0</v>
      </c>
      <c r="K396" t="s">
        <v>1227</v>
      </c>
    </row>
    <row r="397" spans="2:11" x14ac:dyDescent="0.3">
      <c r="B397">
        <v>3</v>
      </c>
      <c r="C397" t="s">
        <v>1228</v>
      </c>
      <c r="D397" t="s">
        <v>944</v>
      </c>
      <c r="E397" t="s">
        <v>946</v>
      </c>
      <c r="G397">
        <f>25000+12000</f>
        <v>37000</v>
      </c>
      <c r="H397">
        <f>10000+27000</f>
        <v>37000</v>
      </c>
      <c r="I397">
        <f>G397-H397</f>
        <v>0</v>
      </c>
      <c r="K397" t="s">
        <v>1240</v>
      </c>
    </row>
    <row r="398" spans="2:11" x14ac:dyDescent="0.3">
      <c r="B398">
        <v>4</v>
      </c>
      <c r="C398" t="s">
        <v>1229</v>
      </c>
      <c r="D398" t="s">
        <v>364</v>
      </c>
      <c r="E398" t="s">
        <v>12</v>
      </c>
      <c r="G398">
        <v>49500</v>
      </c>
      <c r="H398">
        <f>30000+15000</f>
        <v>45000</v>
      </c>
      <c r="I398">
        <f>G398-H398</f>
        <v>4500</v>
      </c>
      <c r="K398" t="s">
        <v>1276</v>
      </c>
    </row>
    <row r="399" spans="2:11" x14ac:dyDescent="0.3">
      <c r="B399">
        <v>5</v>
      </c>
      <c r="C399" t="s">
        <v>622</v>
      </c>
      <c r="D399" t="s">
        <v>123</v>
      </c>
      <c r="E399" t="s">
        <v>12</v>
      </c>
      <c r="G399">
        <f>(40000+40000+14400)-9400</f>
        <v>85000</v>
      </c>
      <c r="H399">
        <v>85000</v>
      </c>
      <c r="I399">
        <f>G399-H399</f>
        <v>0</v>
      </c>
      <c r="K399" t="s">
        <v>1230</v>
      </c>
    </row>
    <row r="400" spans="2:11" x14ac:dyDescent="0.3">
      <c r="B400">
        <v>6</v>
      </c>
      <c r="C400" t="s">
        <v>1231</v>
      </c>
      <c r="D400" t="s">
        <v>1232</v>
      </c>
      <c r="E400" t="s">
        <v>12</v>
      </c>
      <c r="G400">
        <v>45000</v>
      </c>
      <c r="H400">
        <v>45000</v>
      </c>
      <c r="K400" t="s">
        <v>1239</v>
      </c>
    </row>
    <row r="401" spans="1:11" x14ac:dyDescent="0.3">
      <c r="B401">
        <v>7</v>
      </c>
      <c r="C401" t="s">
        <v>248</v>
      </c>
      <c r="D401" t="s">
        <v>249</v>
      </c>
      <c r="E401" t="s">
        <v>12</v>
      </c>
      <c r="G401">
        <v>24000</v>
      </c>
      <c r="H401">
        <v>24000</v>
      </c>
      <c r="K401" t="s">
        <v>1234</v>
      </c>
    </row>
    <row r="402" spans="1:11" x14ac:dyDescent="0.3">
      <c r="B402">
        <v>8</v>
      </c>
      <c r="C402" t="s">
        <v>1236</v>
      </c>
      <c r="D402" t="s">
        <v>591</v>
      </c>
      <c r="E402" t="s">
        <v>12</v>
      </c>
      <c r="F402" s="6" t="s">
        <v>1238</v>
      </c>
      <c r="G402">
        <v>12000</v>
      </c>
      <c r="H402">
        <v>12000</v>
      </c>
      <c r="K402" t="s">
        <v>1237</v>
      </c>
    </row>
    <row r="403" spans="1:11" x14ac:dyDescent="0.3">
      <c r="B403">
        <v>9</v>
      </c>
      <c r="C403" t="s">
        <v>248</v>
      </c>
      <c r="D403" t="s">
        <v>249</v>
      </c>
      <c r="E403" t="s">
        <v>762</v>
      </c>
      <c r="G403">
        <v>45000</v>
      </c>
      <c r="H403">
        <v>45000</v>
      </c>
      <c r="K403" t="s">
        <v>1259</v>
      </c>
    </row>
    <row r="404" spans="1:11" x14ac:dyDescent="0.3">
      <c r="B404">
        <v>10</v>
      </c>
      <c r="C404" t="s">
        <v>373</v>
      </c>
      <c r="D404" t="s">
        <v>119</v>
      </c>
      <c r="E404" t="s">
        <v>12</v>
      </c>
      <c r="G404">
        <v>50000</v>
      </c>
      <c r="H404">
        <v>50000</v>
      </c>
      <c r="K404" t="s">
        <v>1251</v>
      </c>
    </row>
    <row r="405" spans="1:11" x14ac:dyDescent="0.3">
      <c r="E405" s="120" t="s">
        <v>1243</v>
      </c>
      <c r="F405" s="121"/>
      <c r="G405" s="121"/>
      <c r="H405" s="49">
        <f>SUM(H395:H404)</f>
        <v>413000</v>
      </c>
    </row>
    <row r="407" spans="1:11" x14ac:dyDescent="0.3">
      <c r="B407">
        <v>1</v>
      </c>
      <c r="C407" t="s">
        <v>239</v>
      </c>
      <c r="G407">
        <f>4000+3500+7000</f>
        <v>14500</v>
      </c>
      <c r="H407">
        <f>4000+3500+7000</f>
        <v>14500</v>
      </c>
      <c r="I407">
        <f t="shared" ref="I407:I423" si="30">G407-H407</f>
        <v>0</v>
      </c>
      <c r="K407" t="s">
        <v>1256</v>
      </c>
    </row>
    <row r="408" spans="1:11" x14ac:dyDescent="0.3">
      <c r="B408">
        <v>2</v>
      </c>
      <c r="C408" t="s">
        <v>1244</v>
      </c>
      <c r="D408" t="s">
        <v>1245</v>
      </c>
      <c r="E408" t="s">
        <v>46</v>
      </c>
      <c r="G408">
        <v>4000</v>
      </c>
      <c r="H408">
        <v>4000</v>
      </c>
      <c r="I408">
        <f t="shared" si="30"/>
        <v>0</v>
      </c>
      <c r="K408" t="s">
        <v>1246</v>
      </c>
    </row>
    <row r="409" spans="1:11" x14ac:dyDescent="0.3">
      <c r="A409" t="s">
        <v>1247</v>
      </c>
      <c r="B409">
        <v>3</v>
      </c>
      <c r="C409" t="s">
        <v>1247</v>
      </c>
      <c r="D409" t="s">
        <v>1020</v>
      </c>
      <c r="E409" t="s">
        <v>12</v>
      </c>
      <c r="F409" s="6" t="s">
        <v>1248</v>
      </c>
      <c r="G409">
        <v>120000</v>
      </c>
      <c r="H409">
        <f>30000+20000+70000</f>
        <v>120000</v>
      </c>
      <c r="I409">
        <f t="shared" si="30"/>
        <v>0</v>
      </c>
      <c r="K409" t="s">
        <v>1612</v>
      </c>
    </row>
    <row r="410" spans="1:11" x14ac:dyDescent="0.3">
      <c r="C410" t="s">
        <v>1247</v>
      </c>
      <c r="D410" t="s">
        <v>1020</v>
      </c>
      <c r="E410" t="s">
        <v>12</v>
      </c>
      <c r="F410" s="6" t="s">
        <v>1788</v>
      </c>
      <c r="G410">
        <f>10000-2000</f>
        <v>8000</v>
      </c>
      <c r="H410">
        <v>8000</v>
      </c>
      <c r="I410">
        <f t="shared" ref="I410:I418" si="31">G410-H410</f>
        <v>0</v>
      </c>
      <c r="K410" t="s">
        <v>1819</v>
      </c>
    </row>
    <row r="411" spans="1:11" x14ac:dyDescent="0.3">
      <c r="C411" t="s">
        <v>1247</v>
      </c>
      <c r="D411" t="s">
        <v>1812</v>
      </c>
      <c r="E411" t="s">
        <v>12</v>
      </c>
      <c r="F411" s="47" t="s">
        <v>1813</v>
      </c>
      <c r="G411">
        <v>8000</v>
      </c>
      <c r="H411">
        <v>8000</v>
      </c>
      <c r="I411">
        <f t="shared" si="31"/>
        <v>0</v>
      </c>
      <c r="K411" t="s">
        <v>1820</v>
      </c>
    </row>
    <row r="412" spans="1:11" x14ac:dyDescent="0.3">
      <c r="C412" t="s">
        <v>1247</v>
      </c>
      <c r="D412" t="s">
        <v>1020</v>
      </c>
      <c r="E412" t="s">
        <v>12</v>
      </c>
      <c r="F412" s="6" t="s">
        <v>2022</v>
      </c>
      <c r="G412">
        <v>8000</v>
      </c>
      <c r="H412">
        <v>8000</v>
      </c>
      <c r="I412">
        <f t="shared" si="31"/>
        <v>0</v>
      </c>
      <c r="K412" t="s">
        <v>2030</v>
      </c>
    </row>
    <row r="413" spans="1:11" x14ac:dyDescent="0.3">
      <c r="C413" t="s">
        <v>1247</v>
      </c>
      <c r="D413" t="s">
        <v>1812</v>
      </c>
      <c r="E413" t="s">
        <v>12</v>
      </c>
      <c r="F413" s="6" t="s">
        <v>2186</v>
      </c>
      <c r="G413">
        <v>8000</v>
      </c>
      <c r="H413">
        <v>8000</v>
      </c>
      <c r="I413">
        <f t="shared" si="31"/>
        <v>0</v>
      </c>
      <c r="K413" t="s">
        <v>2187</v>
      </c>
    </row>
    <row r="414" spans="1:11" x14ac:dyDescent="0.3">
      <c r="C414" t="s">
        <v>1247</v>
      </c>
      <c r="D414" t="s">
        <v>1812</v>
      </c>
      <c r="E414" t="s">
        <v>12</v>
      </c>
      <c r="F414" s="47" t="s">
        <v>2262</v>
      </c>
      <c r="G414">
        <f>8000+3000</f>
        <v>11000</v>
      </c>
      <c r="H414">
        <v>11000</v>
      </c>
      <c r="I414">
        <f t="shared" si="31"/>
        <v>0</v>
      </c>
      <c r="K414" t="s">
        <v>2286</v>
      </c>
    </row>
    <row r="415" spans="1:11" x14ac:dyDescent="0.3">
      <c r="C415" t="s">
        <v>1247</v>
      </c>
      <c r="D415" t="s">
        <v>1020</v>
      </c>
      <c r="E415" t="s">
        <v>12</v>
      </c>
      <c r="F415" s="6" t="s">
        <v>2329</v>
      </c>
      <c r="G415">
        <v>8000</v>
      </c>
      <c r="H415">
        <v>8000</v>
      </c>
      <c r="I415">
        <f t="shared" si="31"/>
        <v>0</v>
      </c>
      <c r="K415" t="s">
        <v>2341</v>
      </c>
    </row>
    <row r="416" spans="1:11" x14ac:dyDescent="0.3">
      <c r="C416" t="s">
        <v>1247</v>
      </c>
      <c r="D416" t="s">
        <v>1020</v>
      </c>
      <c r="E416" t="s">
        <v>12</v>
      </c>
      <c r="F416" s="6" t="s">
        <v>2387</v>
      </c>
      <c r="G416">
        <v>8000</v>
      </c>
      <c r="H416">
        <v>8000</v>
      </c>
      <c r="I416">
        <f t="shared" si="31"/>
        <v>0</v>
      </c>
      <c r="K416" t="s">
        <v>2389</v>
      </c>
    </row>
    <row r="417" spans="2:11" x14ac:dyDescent="0.3">
      <c r="C417" t="s">
        <v>1247</v>
      </c>
      <c r="D417" t="s">
        <v>1020</v>
      </c>
      <c r="E417" t="s">
        <v>12</v>
      </c>
      <c r="F417" s="47" t="s">
        <v>2490</v>
      </c>
      <c r="G417">
        <v>35000</v>
      </c>
      <c r="H417">
        <f>25000+10000</f>
        <v>35000</v>
      </c>
      <c r="I417">
        <f t="shared" si="31"/>
        <v>0</v>
      </c>
      <c r="K417" t="s">
        <v>2545</v>
      </c>
    </row>
    <row r="418" spans="2:11" x14ac:dyDescent="0.3">
      <c r="C418" t="s">
        <v>1247</v>
      </c>
      <c r="D418" t="s">
        <v>1020</v>
      </c>
      <c r="E418" t="s">
        <v>12</v>
      </c>
      <c r="F418" s="47" t="s">
        <v>2496</v>
      </c>
      <c r="G418">
        <f>8000+1500</f>
        <v>9500</v>
      </c>
      <c r="H418">
        <v>9500</v>
      </c>
      <c r="I418">
        <f t="shared" si="31"/>
        <v>0</v>
      </c>
      <c r="K418" t="s">
        <v>2508</v>
      </c>
    </row>
    <row r="419" spans="2:11" x14ac:dyDescent="0.3">
      <c r="B419">
        <v>4</v>
      </c>
      <c r="C419" t="s">
        <v>1222</v>
      </c>
      <c r="D419" t="s">
        <v>654</v>
      </c>
      <c r="E419" t="s">
        <v>746</v>
      </c>
      <c r="F419" s="6" t="s">
        <v>1249</v>
      </c>
      <c r="G419">
        <v>45000</v>
      </c>
      <c r="H419">
        <v>45000</v>
      </c>
      <c r="I419">
        <f t="shared" si="30"/>
        <v>0</v>
      </c>
      <c r="K419" t="s">
        <v>1252</v>
      </c>
    </row>
    <row r="420" spans="2:11" x14ac:dyDescent="0.3">
      <c r="B420">
        <v>5</v>
      </c>
      <c r="C420" t="s">
        <v>1163</v>
      </c>
      <c r="E420" t="s">
        <v>1253</v>
      </c>
      <c r="F420" s="6" t="s">
        <v>1254</v>
      </c>
      <c r="G420">
        <v>10000</v>
      </c>
      <c r="H420">
        <v>10000</v>
      </c>
      <c r="I420">
        <f t="shared" si="30"/>
        <v>0</v>
      </c>
      <c r="K420" t="s">
        <v>1255</v>
      </c>
    </row>
    <row r="421" spans="2:11" x14ac:dyDescent="0.3">
      <c r="B421">
        <v>6</v>
      </c>
      <c r="C421" t="s">
        <v>1181</v>
      </c>
      <c r="D421" t="s">
        <v>332</v>
      </c>
      <c r="E421" t="s">
        <v>51</v>
      </c>
      <c r="F421" s="6" t="s">
        <v>1257</v>
      </c>
      <c r="G421">
        <v>35000</v>
      </c>
      <c r="H421">
        <f>10000+15000+10000</f>
        <v>35000</v>
      </c>
      <c r="I421">
        <f t="shared" si="30"/>
        <v>0</v>
      </c>
      <c r="K421" t="s">
        <v>1328</v>
      </c>
    </row>
    <row r="422" spans="2:11" x14ac:dyDescent="0.3">
      <c r="B422">
        <v>7</v>
      </c>
      <c r="C422" t="s">
        <v>1260</v>
      </c>
      <c r="D422" t="s">
        <v>142</v>
      </c>
      <c r="E422" t="s">
        <v>1261</v>
      </c>
      <c r="F422" s="6" t="s">
        <v>1262</v>
      </c>
      <c r="G422">
        <v>23400</v>
      </c>
      <c r="H422">
        <f>5000</f>
        <v>5000</v>
      </c>
      <c r="I422">
        <f t="shared" si="30"/>
        <v>18400</v>
      </c>
      <c r="K422" t="s">
        <v>1263</v>
      </c>
    </row>
    <row r="423" spans="2:11" x14ac:dyDescent="0.3">
      <c r="B423">
        <v>8</v>
      </c>
      <c r="C423" t="s">
        <v>1264</v>
      </c>
      <c r="E423" t="s">
        <v>12</v>
      </c>
      <c r="F423" s="6"/>
      <c r="G423">
        <f>37200+7500</f>
        <v>44700</v>
      </c>
      <c r="H423">
        <f>37200+7500</f>
        <v>44700</v>
      </c>
      <c r="I423">
        <f t="shared" si="30"/>
        <v>0</v>
      </c>
      <c r="K423" t="s">
        <v>1265</v>
      </c>
    </row>
    <row r="424" spans="2:11" x14ac:dyDescent="0.3">
      <c r="E424" s="120" t="s">
        <v>1287</v>
      </c>
      <c r="F424" s="121"/>
      <c r="G424" s="121"/>
      <c r="H424" s="49">
        <f>SUM(H407:H423)</f>
        <v>381700</v>
      </c>
    </row>
    <row r="426" spans="2:11" x14ac:dyDescent="0.3">
      <c r="B426">
        <v>1</v>
      </c>
      <c r="C426" t="s">
        <v>1266</v>
      </c>
      <c r="D426" t="s">
        <v>26</v>
      </c>
      <c r="E426" t="s">
        <v>51</v>
      </c>
      <c r="F426" s="6" t="s">
        <v>1267</v>
      </c>
      <c r="G426">
        <v>12000</v>
      </c>
      <c r="H426">
        <v>12000</v>
      </c>
      <c r="K426" t="s">
        <v>1268</v>
      </c>
    </row>
    <row r="427" spans="2:11" x14ac:dyDescent="0.3">
      <c r="B427">
        <v>2</v>
      </c>
      <c r="C427" t="s">
        <v>377</v>
      </c>
      <c r="D427" t="s">
        <v>119</v>
      </c>
      <c r="E427" t="s">
        <v>12</v>
      </c>
      <c r="F427" s="6" t="s">
        <v>1267</v>
      </c>
      <c r="G427">
        <v>50000</v>
      </c>
      <c r="H427">
        <f>50000+50000</f>
        <v>100000</v>
      </c>
      <c r="K427" t="s">
        <v>1280</v>
      </c>
    </row>
    <row r="428" spans="2:11" x14ac:dyDescent="0.3">
      <c r="B428">
        <v>3</v>
      </c>
      <c r="C428" t="s">
        <v>217</v>
      </c>
      <c r="D428" t="s">
        <v>18</v>
      </c>
      <c r="E428" t="s">
        <v>12</v>
      </c>
      <c r="F428" s="6" t="s">
        <v>1269</v>
      </c>
      <c r="G428">
        <v>15000</v>
      </c>
      <c r="H428">
        <v>15000</v>
      </c>
      <c r="K428" t="s">
        <v>1334</v>
      </c>
    </row>
    <row r="429" spans="2:11" x14ac:dyDescent="0.3">
      <c r="B429">
        <v>4</v>
      </c>
      <c r="C429" t="s">
        <v>1270</v>
      </c>
      <c r="D429" t="s">
        <v>1272</v>
      </c>
      <c r="E429" t="s">
        <v>1271</v>
      </c>
      <c r="F429" s="6" t="s">
        <v>1273</v>
      </c>
      <c r="G429">
        <v>18000</v>
      </c>
      <c r="H429">
        <v>18000</v>
      </c>
      <c r="K429" t="s">
        <v>1274</v>
      </c>
    </row>
    <row r="430" spans="2:11" x14ac:dyDescent="0.3">
      <c r="B430">
        <v>5</v>
      </c>
      <c r="C430" t="s">
        <v>220</v>
      </c>
      <c r="D430" t="s">
        <v>1123</v>
      </c>
      <c r="E430" t="s">
        <v>51</v>
      </c>
      <c r="F430" s="6" t="s">
        <v>1275</v>
      </c>
      <c r="G430">
        <v>12000</v>
      </c>
      <c r="H430">
        <v>12000</v>
      </c>
      <c r="I430">
        <f t="shared" ref="I430" si="32">G430-H430</f>
        <v>0</v>
      </c>
      <c r="K430" t="s">
        <v>1294</v>
      </c>
    </row>
    <row r="431" spans="2:11" x14ac:dyDescent="0.3">
      <c r="B431">
        <v>6</v>
      </c>
      <c r="C431" t="s">
        <v>785</v>
      </c>
      <c r="D431" t="s">
        <v>1278</v>
      </c>
      <c r="E431" t="s">
        <v>12</v>
      </c>
      <c r="F431" s="6" t="s">
        <v>1279</v>
      </c>
      <c r="G431">
        <v>6000</v>
      </c>
      <c r="H431">
        <v>6000</v>
      </c>
      <c r="K431" t="s">
        <v>1335</v>
      </c>
    </row>
    <row r="432" spans="2:11" x14ac:dyDescent="0.3">
      <c r="B432">
        <v>7</v>
      </c>
      <c r="C432" t="s">
        <v>239</v>
      </c>
      <c r="F432" s="6" t="s">
        <v>1281</v>
      </c>
      <c r="H432">
        <v>5000</v>
      </c>
      <c r="K432" t="s">
        <v>1282</v>
      </c>
    </row>
    <row r="433" spans="2:11" x14ac:dyDescent="0.3">
      <c r="B433">
        <v>8</v>
      </c>
      <c r="C433" t="s">
        <v>1283</v>
      </c>
      <c r="D433" t="s">
        <v>1284</v>
      </c>
      <c r="E433" t="s">
        <v>12</v>
      </c>
      <c r="F433" s="6" t="s">
        <v>1285</v>
      </c>
      <c r="G433">
        <f>60000+18000</f>
        <v>78000</v>
      </c>
      <c r="H433">
        <f>50000+28000</f>
        <v>78000</v>
      </c>
      <c r="K433" t="s">
        <v>1286</v>
      </c>
    </row>
    <row r="434" spans="2:11" x14ac:dyDescent="0.3">
      <c r="B434">
        <v>9</v>
      </c>
      <c r="C434" t="s">
        <v>1333</v>
      </c>
      <c r="D434" t="s">
        <v>1180</v>
      </c>
      <c r="E434" t="s">
        <v>12</v>
      </c>
      <c r="F434" s="6" t="s">
        <v>1288</v>
      </c>
      <c r="G434">
        <v>23200</v>
      </c>
      <c r="H434">
        <v>23200</v>
      </c>
      <c r="K434" t="s">
        <v>1332</v>
      </c>
    </row>
    <row r="435" spans="2:11" x14ac:dyDescent="0.3">
      <c r="E435" s="120" t="s">
        <v>1289</v>
      </c>
      <c r="F435" s="121"/>
      <c r="G435" s="121"/>
      <c r="H435" s="49">
        <f>SUM(H426:H434)</f>
        <v>269200</v>
      </c>
    </row>
    <row r="437" spans="2:11" x14ac:dyDescent="0.3">
      <c r="B437">
        <v>1</v>
      </c>
      <c r="C437" t="s">
        <v>394</v>
      </c>
      <c r="D437" t="s">
        <v>1290</v>
      </c>
      <c r="E437" t="s">
        <v>12</v>
      </c>
      <c r="F437" s="6" t="s">
        <v>1291</v>
      </c>
      <c r="G437">
        <v>12000</v>
      </c>
      <c r="H437">
        <v>12000</v>
      </c>
      <c r="K437" t="s">
        <v>1292</v>
      </c>
    </row>
    <row r="438" spans="2:11" x14ac:dyDescent="0.3">
      <c r="B438">
        <v>2</v>
      </c>
      <c r="C438" t="s">
        <v>1323</v>
      </c>
      <c r="D438" t="s">
        <v>1324</v>
      </c>
      <c r="E438" t="s">
        <v>12</v>
      </c>
      <c r="F438" s="6" t="s">
        <v>1293</v>
      </c>
      <c r="G438">
        <f>40000+18000</f>
        <v>58000</v>
      </c>
      <c r="H438">
        <f>30000+28000</f>
        <v>58000</v>
      </c>
      <c r="I438">
        <f t="shared" ref="I438" si="33">G438-H438</f>
        <v>0</v>
      </c>
      <c r="K438" t="s">
        <v>1435</v>
      </c>
    </row>
    <row r="439" spans="2:11" x14ac:dyDescent="0.3">
      <c r="B439">
        <v>3</v>
      </c>
      <c r="C439" t="s">
        <v>777</v>
      </c>
      <c r="D439" t="s">
        <v>126</v>
      </c>
      <c r="E439" t="s">
        <v>39</v>
      </c>
      <c r="F439" s="6" t="s">
        <v>1295</v>
      </c>
      <c r="H439">
        <v>8000</v>
      </c>
      <c r="K439" t="s">
        <v>1296</v>
      </c>
    </row>
    <row r="440" spans="2:11" x14ac:dyDescent="0.3">
      <c r="B440">
        <v>4</v>
      </c>
      <c r="C440" t="s">
        <v>736</v>
      </c>
      <c r="D440" t="s">
        <v>591</v>
      </c>
      <c r="E440" t="s">
        <v>1298</v>
      </c>
      <c r="F440" s="6" t="s">
        <v>1299</v>
      </c>
      <c r="H440">
        <v>12000</v>
      </c>
      <c r="K440" t="s">
        <v>1300</v>
      </c>
    </row>
    <row r="441" spans="2:11" x14ac:dyDescent="0.3">
      <c r="B441">
        <v>5</v>
      </c>
      <c r="C441" t="s">
        <v>220</v>
      </c>
      <c r="D441" t="s">
        <v>1123</v>
      </c>
      <c r="E441" t="s">
        <v>51</v>
      </c>
      <c r="F441" s="6" t="s">
        <v>1299</v>
      </c>
      <c r="H441">
        <v>17000</v>
      </c>
      <c r="K441" t="s">
        <v>1301</v>
      </c>
    </row>
    <row r="442" spans="2:11" x14ac:dyDescent="0.3">
      <c r="B442">
        <v>6</v>
      </c>
      <c r="C442" t="s">
        <v>1264</v>
      </c>
      <c r="D442" t="s">
        <v>1302</v>
      </c>
      <c r="E442" t="s">
        <v>12</v>
      </c>
      <c r="F442" s="6" t="s">
        <v>1303</v>
      </c>
      <c r="H442">
        <v>25400</v>
      </c>
      <c r="I442" t="s">
        <v>1319</v>
      </c>
      <c r="K442" t="s">
        <v>1304</v>
      </c>
    </row>
    <row r="443" spans="2:11" x14ac:dyDescent="0.3">
      <c r="B443">
        <v>7</v>
      </c>
      <c r="C443" t="s">
        <v>659</v>
      </c>
      <c r="D443" t="s">
        <v>944</v>
      </c>
      <c r="E443" t="s">
        <v>1305</v>
      </c>
      <c r="F443" s="6" t="s">
        <v>1306</v>
      </c>
      <c r="G443">
        <f>30000+1000</f>
        <v>31000</v>
      </c>
      <c r="H443">
        <f>10000+21000</f>
        <v>31000</v>
      </c>
      <c r="I443">
        <f t="shared" ref="I443" si="34">G443-H443</f>
        <v>0</v>
      </c>
      <c r="K443" t="s">
        <v>1429</v>
      </c>
    </row>
    <row r="444" spans="2:11" x14ac:dyDescent="0.3">
      <c r="B444">
        <v>8</v>
      </c>
      <c r="C444" t="s">
        <v>84</v>
      </c>
      <c r="D444" t="s">
        <v>1308</v>
      </c>
      <c r="E444" t="s">
        <v>12</v>
      </c>
      <c r="F444" s="6" t="s">
        <v>1309</v>
      </c>
      <c r="H444">
        <v>2000</v>
      </c>
      <c r="K444" t="s">
        <v>1310</v>
      </c>
    </row>
    <row r="445" spans="2:11" x14ac:dyDescent="0.3">
      <c r="B445">
        <v>9</v>
      </c>
      <c r="C445" t="s">
        <v>1312</v>
      </c>
      <c r="D445" t="s">
        <v>14</v>
      </c>
      <c r="F445" s="6" t="s">
        <v>1313</v>
      </c>
      <c r="H445">
        <f>1000+800+500+1000+1000</f>
        <v>4300</v>
      </c>
      <c r="K445" t="s">
        <v>1314</v>
      </c>
    </row>
    <row r="446" spans="2:11" x14ac:dyDescent="0.3">
      <c r="B446">
        <v>10</v>
      </c>
      <c r="C446" t="s">
        <v>1315</v>
      </c>
      <c r="D446" t="s">
        <v>1316</v>
      </c>
      <c r="E446" t="s">
        <v>51</v>
      </c>
      <c r="F446" s="6" t="s">
        <v>1317</v>
      </c>
      <c r="G446">
        <f>198800+75200+20000+15000</f>
        <v>309000</v>
      </c>
      <c r="H446">
        <f>99400+25000+20000+50000+50000+50000+15000</f>
        <v>309400</v>
      </c>
      <c r="I446">
        <f t="shared" ref="I446" si="35">G446-H446</f>
        <v>-400</v>
      </c>
      <c r="K446" t="s">
        <v>1506</v>
      </c>
    </row>
    <row r="447" spans="2:11" x14ac:dyDescent="0.3">
      <c r="B447">
        <v>11</v>
      </c>
      <c r="C447" t="s">
        <v>1315</v>
      </c>
      <c r="D447" t="s">
        <v>1316</v>
      </c>
      <c r="E447" t="s">
        <v>51</v>
      </c>
      <c r="F447" s="6" t="s">
        <v>1329</v>
      </c>
      <c r="G447">
        <v>45000</v>
      </c>
      <c r="H447">
        <v>45000</v>
      </c>
      <c r="K447" t="s">
        <v>1330</v>
      </c>
    </row>
    <row r="448" spans="2:11" x14ac:dyDescent="0.3">
      <c r="B448">
        <v>12</v>
      </c>
      <c r="C448" t="s">
        <v>23</v>
      </c>
      <c r="D448" t="s">
        <v>24</v>
      </c>
      <c r="E448" t="s">
        <v>12</v>
      </c>
      <c r="F448" s="6" t="s">
        <v>1317</v>
      </c>
      <c r="H448">
        <f>14000</f>
        <v>14000</v>
      </c>
      <c r="K448" t="s">
        <v>1318</v>
      </c>
    </row>
    <row r="449" spans="2:11" x14ac:dyDescent="0.3">
      <c r="B449">
        <v>13</v>
      </c>
      <c r="C449" t="s">
        <v>23</v>
      </c>
      <c r="D449" t="s">
        <v>24</v>
      </c>
      <c r="E449" t="s">
        <v>12</v>
      </c>
      <c r="F449" s="6" t="s">
        <v>1320</v>
      </c>
      <c r="H449">
        <f>15000+1000</f>
        <v>16000</v>
      </c>
      <c r="K449" t="s">
        <v>1321</v>
      </c>
    </row>
    <row r="450" spans="2:11" x14ac:dyDescent="0.3">
      <c r="B450">
        <v>14</v>
      </c>
      <c r="C450" t="s">
        <v>1326</v>
      </c>
      <c r="D450" t="s">
        <v>14</v>
      </c>
      <c r="E450" t="s">
        <v>12</v>
      </c>
      <c r="F450" s="6" t="s">
        <v>1313</v>
      </c>
      <c r="G450">
        <f>40000+1000+25000</f>
        <v>66000</v>
      </c>
      <c r="H450">
        <f>20000+20000</f>
        <v>40000</v>
      </c>
      <c r="I450">
        <f t="shared" ref="I450" si="36">G450-H450</f>
        <v>26000</v>
      </c>
      <c r="K450" t="s">
        <v>1726</v>
      </c>
    </row>
    <row r="451" spans="2:11" x14ac:dyDescent="0.3">
      <c r="E451" s="120" t="s">
        <v>1322</v>
      </c>
      <c r="F451" s="121"/>
      <c r="G451" s="121"/>
      <c r="H451" s="49">
        <f>SUM(H437:H450)</f>
        <v>594100</v>
      </c>
    </row>
    <row r="453" spans="2:11" x14ac:dyDescent="0.3">
      <c r="B453">
        <v>1</v>
      </c>
      <c r="C453" t="s">
        <v>1222</v>
      </c>
      <c r="D453" t="s">
        <v>654</v>
      </c>
      <c r="E453" t="s">
        <v>746</v>
      </c>
      <c r="F453" s="6" t="s">
        <v>1325</v>
      </c>
      <c r="G453">
        <v>49500</v>
      </c>
      <c r="H453">
        <f>45000+4500</f>
        <v>49500</v>
      </c>
      <c r="I453">
        <f t="shared" ref="I453:I456" si="37">G453-H453</f>
        <v>0</v>
      </c>
      <c r="K453" t="s">
        <v>1473</v>
      </c>
    </row>
    <row r="454" spans="2:11" x14ac:dyDescent="0.3">
      <c r="B454">
        <v>2</v>
      </c>
      <c r="C454" t="s">
        <v>310</v>
      </c>
      <c r="D454" t="s">
        <v>311</v>
      </c>
      <c r="E454" t="s">
        <v>131</v>
      </c>
      <c r="F454" s="6" t="s">
        <v>1329</v>
      </c>
      <c r="G454">
        <v>16000</v>
      </c>
      <c r="H454">
        <v>16000</v>
      </c>
      <c r="I454">
        <f t="shared" si="37"/>
        <v>0</v>
      </c>
      <c r="K454" t="s">
        <v>1331</v>
      </c>
    </row>
    <row r="455" spans="2:11" x14ac:dyDescent="0.3">
      <c r="B455">
        <v>3</v>
      </c>
      <c r="C455" t="s">
        <v>1336</v>
      </c>
      <c r="D455" t="s">
        <v>1337</v>
      </c>
      <c r="E455" t="s">
        <v>12</v>
      </c>
      <c r="F455" s="6" t="s">
        <v>1338</v>
      </c>
      <c r="G455">
        <f>25000+12000</f>
        <v>37000</v>
      </c>
      <c r="H455">
        <v>37000</v>
      </c>
      <c r="I455">
        <f t="shared" si="37"/>
        <v>0</v>
      </c>
      <c r="K455" t="s">
        <v>1355</v>
      </c>
    </row>
    <row r="456" spans="2:11" x14ac:dyDescent="0.3">
      <c r="B456">
        <v>4</v>
      </c>
      <c r="C456" t="s">
        <v>942</v>
      </c>
      <c r="D456" t="s">
        <v>134</v>
      </c>
      <c r="E456" t="s">
        <v>12</v>
      </c>
      <c r="F456" s="6" t="s">
        <v>1338</v>
      </c>
      <c r="G456">
        <v>12000</v>
      </c>
      <c r="H456">
        <v>12000</v>
      </c>
      <c r="I456">
        <f t="shared" si="37"/>
        <v>0</v>
      </c>
      <c r="K456" t="s">
        <v>1367</v>
      </c>
    </row>
    <row r="457" spans="2:11" x14ac:dyDescent="0.3">
      <c r="B457">
        <v>5</v>
      </c>
      <c r="C457" t="s">
        <v>239</v>
      </c>
      <c r="H457">
        <f>1000+50</f>
        <v>1050</v>
      </c>
      <c r="K457" t="s">
        <v>1339</v>
      </c>
    </row>
    <row r="458" spans="2:11" x14ac:dyDescent="0.3">
      <c r="B458">
        <v>6</v>
      </c>
      <c r="C458" t="s">
        <v>17</v>
      </c>
      <c r="D458" t="s">
        <v>18</v>
      </c>
      <c r="E458" t="s">
        <v>12</v>
      </c>
      <c r="F458" s="6" t="s">
        <v>1340</v>
      </c>
      <c r="G458">
        <v>12000</v>
      </c>
      <c r="H458">
        <v>12000</v>
      </c>
      <c r="K458" t="s">
        <v>1366</v>
      </c>
    </row>
    <row r="459" spans="2:11" x14ac:dyDescent="0.3">
      <c r="B459">
        <v>7</v>
      </c>
      <c r="C459" t="s">
        <v>1018</v>
      </c>
      <c r="D459" t="s">
        <v>654</v>
      </c>
      <c r="E459" t="s">
        <v>746</v>
      </c>
      <c r="F459" s="6" t="s">
        <v>1340</v>
      </c>
      <c r="G459">
        <v>120000</v>
      </c>
      <c r="H459">
        <f>108000+12000</f>
        <v>120000</v>
      </c>
      <c r="I459">
        <f t="shared" ref="I459:I476" si="38">G459-H459</f>
        <v>0</v>
      </c>
      <c r="K459" t="s">
        <v>1493</v>
      </c>
    </row>
    <row r="460" spans="2:11" x14ac:dyDescent="0.3">
      <c r="B460">
        <v>8</v>
      </c>
      <c r="C460" t="s">
        <v>1018</v>
      </c>
      <c r="D460" t="s">
        <v>654</v>
      </c>
      <c r="E460" t="s">
        <v>746</v>
      </c>
      <c r="F460" s="6"/>
      <c r="G460">
        <f>20000+5000</f>
        <v>25000</v>
      </c>
      <c r="H460">
        <v>25000</v>
      </c>
      <c r="I460">
        <f t="shared" si="38"/>
        <v>0</v>
      </c>
      <c r="K460" t="s">
        <v>1878</v>
      </c>
    </row>
    <row r="461" spans="2:11" x14ac:dyDescent="0.3">
      <c r="B461">
        <v>9</v>
      </c>
      <c r="C461" t="s">
        <v>1382</v>
      </c>
      <c r="D461" t="s">
        <v>332</v>
      </c>
      <c r="E461" t="s">
        <v>51</v>
      </c>
      <c r="F461" s="6" t="s">
        <v>1341</v>
      </c>
      <c r="G461">
        <v>3000</v>
      </c>
      <c r="H461">
        <v>3000</v>
      </c>
      <c r="I461">
        <f t="shared" si="38"/>
        <v>0</v>
      </c>
      <c r="K461" t="s">
        <v>1344</v>
      </c>
    </row>
    <row r="462" spans="2:11" x14ac:dyDescent="0.3">
      <c r="B462">
        <v>10</v>
      </c>
      <c r="C462" t="s">
        <v>1181</v>
      </c>
      <c r="D462" t="s">
        <v>332</v>
      </c>
      <c r="E462" t="s">
        <v>51</v>
      </c>
      <c r="F462" s="6" t="s">
        <v>1341</v>
      </c>
      <c r="G462">
        <v>6000</v>
      </c>
      <c r="H462">
        <v>6000</v>
      </c>
      <c r="I462">
        <f t="shared" si="38"/>
        <v>0</v>
      </c>
      <c r="K462" t="s">
        <v>1384</v>
      </c>
    </row>
    <row r="463" spans="2:11" x14ac:dyDescent="0.3">
      <c r="B463">
        <v>11</v>
      </c>
      <c r="C463" t="s">
        <v>1181</v>
      </c>
      <c r="D463" t="s">
        <v>332</v>
      </c>
      <c r="E463" t="s">
        <v>51</v>
      </c>
      <c r="F463" s="6" t="s">
        <v>1341</v>
      </c>
      <c r="G463">
        <f>1200*12</f>
        <v>14400</v>
      </c>
      <c r="H463">
        <v>14400</v>
      </c>
      <c r="I463">
        <f t="shared" si="38"/>
        <v>0</v>
      </c>
      <c r="K463" t="s">
        <v>1342</v>
      </c>
    </row>
    <row r="464" spans="2:11" x14ac:dyDescent="0.3">
      <c r="B464">
        <v>12</v>
      </c>
      <c r="C464" t="s">
        <v>1181</v>
      </c>
      <c r="D464" t="s">
        <v>332</v>
      </c>
      <c r="E464" t="s">
        <v>51</v>
      </c>
      <c r="F464" s="6" t="s">
        <v>1341</v>
      </c>
      <c r="G464">
        <f>1200*12</f>
        <v>14400</v>
      </c>
      <c r="H464">
        <v>14400</v>
      </c>
      <c r="I464">
        <f t="shared" si="38"/>
        <v>0</v>
      </c>
      <c r="K464" t="s">
        <v>1343</v>
      </c>
    </row>
    <row r="465" spans="2:11" x14ac:dyDescent="0.3">
      <c r="B465">
        <v>13</v>
      </c>
      <c r="C465" t="s">
        <v>344</v>
      </c>
      <c r="D465" t="s">
        <v>18</v>
      </c>
      <c r="E465" t="s">
        <v>1115</v>
      </c>
      <c r="F465" s="6" t="s">
        <v>1341</v>
      </c>
      <c r="G465">
        <v>6000</v>
      </c>
      <c r="H465">
        <v>6000</v>
      </c>
      <c r="I465">
        <f t="shared" si="38"/>
        <v>0</v>
      </c>
      <c r="K465" t="s">
        <v>1368</v>
      </c>
    </row>
    <row r="466" spans="2:11" x14ac:dyDescent="0.3">
      <c r="B466">
        <v>14</v>
      </c>
      <c r="C466" t="s">
        <v>344</v>
      </c>
      <c r="D466" t="s">
        <v>18</v>
      </c>
      <c r="E466" t="s">
        <v>1115</v>
      </c>
      <c r="F466" s="6" t="s">
        <v>1341</v>
      </c>
      <c r="G466">
        <f>1200*12</f>
        <v>14400</v>
      </c>
      <c r="H466">
        <v>14400</v>
      </c>
      <c r="I466">
        <f t="shared" si="38"/>
        <v>0</v>
      </c>
      <c r="K466" t="s">
        <v>1379</v>
      </c>
    </row>
    <row r="467" spans="2:11" x14ac:dyDescent="0.3">
      <c r="B467">
        <v>17</v>
      </c>
      <c r="C467" t="s">
        <v>1345</v>
      </c>
      <c r="D467" t="s">
        <v>119</v>
      </c>
      <c r="E467" t="s">
        <v>245</v>
      </c>
      <c r="F467" s="6" t="s">
        <v>1341</v>
      </c>
      <c r="G467">
        <f>(1400*12)+50000</f>
        <v>66800</v>
      </c>
      <c r="H467">
        <v>66800</v>
      </c>
      <c r="I467">
        <f t="shared" si="38"/>
        <v>0</v>
      </c>
      <c r="K467" t="s">
        <v>1375</v>
      </c>
    </row>
    <row r="468" spans="2:11" x14ac:dyDescent="0.3">
      <c r="B468">
        <v>18</v>
      </c>
      <c r="C468" t="s">
        <v>1346</v>
      </c>
      <c r="D468" t="s">
        <v>926</v>
      </c>
      <c r="E468" t="s">
        <v>12</v>
      </c>
      <c r="F468" s="6" t="s">
        <v>1341</v>
      </c>
      <c r="G468">
        <f>1500*12*4</f>
        <v>72000</v>
      </c>
      <c r="H468">
        <v>72000</v>
      </c>
      <c r="I468">
        <f t="shared" si="38"/>
        <v>0</v>
      </c>
      <c r="K468" t="s">
        <v>1427</v>
      </c>
    </row>
    <row r="469" spans="2:11" x14ac:dyDescent="0.3">
      <c r="B469">
        <v>19</v>
      </c>
      <c r="C469" t="s">
        <v>1347</v>
      </c>
      <c r="D469" t="s">
        <v>1348</v>
      </c>
      <c r="E469" t="s">
        <v>12</v>
      </c>
      <c r="F469" s="6" t="s">
        <v>1341</v>
      </c>
      <c r="G469">
        <f>1500*12*4</f>
        <v>72000</v>
      </c>
      <c r="H469">
        <v>72000</v>
      </c>
      <c r="I469">
        <f t="shared" si="38"/>
        <v>0</v>
      </c>
      <c r="K469" t="s">
        <v>1426</v>
      </c>
    </row>
    <row r="470" spans="2:11" x14ac:dyDescent="0.3">
      <c r="B470">
        <v>20</v>
      </c>
      <c r="C470" t="s">
        <v>1349</v>
      </c>
      <c r="D470" t="s">
        <v>1350</v>
      </c>
      <c r="E470" t="s">
        <v>12</v>
      </c>
      <c r="F470" s="6" t="s">
        <v>1341</v>
      </c>
      <c r="G470">
        <v>12000</v>
      </c>
      <c r="H470">
        <v>12000</v>
      </c>
      <c r="I470">
        <f t="shared" si="38"/>
        <v>0</v>
      </c>
      <c r="K470" t="s">
        <v>1351</v>
      </c>
    </row>
    <row r="471" spans="2:11" x14ac:dyDescent="0.3">
      <c r="B471">
        <v>21</v>
      </c>
      <c r="C471" t="s">
        <v>1454</v>
      </c>
      <c r="D471" t="s">
        <v>1354</v>
      </c>
      <c r="E471" t="s">
        <v>39</v>
      </c>
      <c r="F471" s="6" t="s">
        <v>1352</v>
      </c>
      <c r="G471">
        <f>29400</f>
        <v>29400</v>
      </c>
      <c r="H471">
        <f>29400</f>
        <v>29400</v>
      </c>
      <c r="I471">
        <f t="shared" si="38"/>
        <v>0</v>
      </c>
      <c r="K471" t="s">
        <v>1353</v>
      </c>
    </row>
    <row r="472" spans="2:11" x14ac:dyDescent="0.3">
      <c r="B472">
        <v>22</v>
      </c>
      <c r="C472" t="s">
        <v>47</v>
      </c>
      <c r="D472" t="s">
        <v>715</v>
      </c>
      <c r="E472" t="s">
        <v>22</v>
      </c>
      <c r="F472" s="6" t="s">
        <v>1356</v>
      </c>
      <c r="G472">
        <v>12000</v>
      </c>
      <c r="H472">
        <v>12000</v>
      </c>
      <c r="I472">
        <f t="shared" si="38"/>
        <v>0</v>
      </c>
      <c r="K472" t="s">
        <v>1357</v>
      </c>
    </row>
    <row r="473" spans="2:11" x14ac:dyDescent="0.3">
      <c r="B473">
        <v>23</v>
      </c>
      <c r="C473" t="s">
        <v>1358</v>
      </c>
      <c r="D473" t="s">
        <v>164</v>
      </c>
      <c r="E473" t="s">
        <v>325</v>
      </c>
      <c r="F473" s="6" t="s">
        <v>1356</v>
      </c>
      <c r="G473">
        <v>15000</v>
      </c>
      <c r="H473">
        <v>15000</v>
      </c>
      <c r="I473">
        <f t="shared" si="38"/>
        <v>0</v>
      </c>
      <c r="K473" t="s">
        <v>1359</v>
      </c>
    </row>
    <row r="474" spans="2:11" x14ac:dyDescent="0.3">
      <c r="B474">
        <v>24</v>
      </c>
      <c r="C474" t="s">
        <v>1360</v>
      </c>
      <c r="D474" t="s">
        <v>1361</v>
      </c>
      <c r="E474" t="s">
        <v>1362</v>
      </c>
      <c r="F474" s="6" t="s">
        <v>1356</v>
      </c>
      <c r="G474">
        <f>25000+12000+14400</f>
        <v>51400</v>
      </c>
      <c r="H474">
        <v>51000</v>
      </c>
      <c r="I474">
        <f t="shared" si="38"/>
        <v>400</v>
      </c>
      <c r="K474" t="s">
        <v>1363</v>
      </c>
    </row>
    <row r="475" spans="2:11" x14ac:dyDescent="0.3">
      <c r="B475">
        <v>25</v>
      </c>
      <c r="C475" t="s">
        <v>695</v>
      </c>
      <c r="D475" t="s">
        <v>1202</v>
      </c>
      <c r="E475" t="s">
        <v>12</v>
      </c>
      <c r="F475" s="6" t="s">
        <v>1364</v>
      </c>
      <c r="G475">
        <v>18000</v>
      </c>
      <c r="H475">
        <v>18000</v>
      </c>
      <c r="I475">
        <f t="shared" si="38"/>
        <v>0</v>
      </c>
      <c r="K475" t="s">
        <v>1365</v>
      </c>
    </row>
    <row r="476" spans="2:11" x14ac:dyDescent="0.3">
      <c r="B476">
        <v>26</v>
      </c>
      <c r="C476" t="s">
        <v>1369</v>
      </c>
      <c r="D476" t="s">
        <v>1245</v>
      </c>
      <c r="E476" t="s">
        <v>46</v>
      </c>
      <c r="F476" s="6" t="s">
        <v>1370</v>
      </c>
      <c r="G476">
        <v>6000</v>
      </c>
      <c r="H476">
        <v>6000</v>
      </c>
      <c r="I476">
        <f t="shared" si="38"/>
        <v>0</v>
      </c>
      <c r="K476" t="s">
        <v>1371</v>
      </c>
    </row>
    <row r="477" spans="2:11" x14ac:dyDescent="0.3">
      <c r="B477">
        <v>27</v>
      </c>
      <c r="C477" t="s">
        <v>1372</v>
      </c>
      <c r="D477" t="s">
        <v>197</v>
      </c>
      <c r="E477" t="s">
        <v>131</v>
      </c>
      <c r="F477" s="6" t="s">
        <v>1370</v>
      </c>
      <c r="G477">
        <v>6000</v>
      </c>
      <c r="H477">
        <v>6000</v>
      </c>
      <c r="K477" t="s">
        <v>1371</v>
      </c>
    </row>
    <row r="478" spans="2:11" x14ac:dyDescent="0.3">
      <c r="B478">
        <v>28</v>
      </c>
      <c r="C478" t="s">
        <v>287</v>
      </c>
      <c r="D478" t="s">
        <v>94</v>
      </c>
      <c r="E478" t="s">
        <v>131</v>
      </c>
      <c r="F478" s="6" t="s">
        <v>1370</v>
      </c>
      <c r="G478">
        <v>20000</v>
      </c>
      <c r="H478">
        <v>20000</v>
      </c>
      <c r="K478" t="s">
        <v>1373</v>
      </c>
    </row>
    <row r="479" spans="2:11" x14ac:dyDescent="0.3">
      <c r="B479">
        <v>29</v>
      </c>
      <c r="C479" t="s">
        <v>320</v>
      </c>
      <c r="D479" t="s">
        <v>1376</v>
      </c>
      <c r="E479" t="s">
        <v>12</v>
      </c>
      <c r="F479" s="6" t="s">
        <v>1370</v>
      </c>
      <c r="G479">
        <v>12000</v>
      </c>
      <c r="H479">
        <v>12000</v>
      </c>
      <c r="K479" t="s">
        <v>1377</v>
      </c>
    </row>
    <row r="480" spans="2:11" x14ac:dyDescent="0.3">
      <c r="B480">
        <v>30</v>
      </c>
      <c r="C480" t="s">
        <v>243</v>
      </c>
      <c r="D480" t="s">
        <v>26</v>
      </c>
      <c r="E480" t="s">
        <v>12</v>
      </c>
      <c r="F480" s="6" t="s">
        <v>1370</v>
      </c>
      <c r="G480">
        <f>12000+(1200*12)</f>
        <v>26400</v>
      </c>
      <c r="H480">
        <v>22700</v>
      </c>
      <c r="I480">
        <f t="shared" ref="I480" si="39">G480-H480</f>
        <v>3700</v>
      </c>
      <c r="K480" t="s">
        <v>1507</v>
      </c>
    </row>
    <row r="481" spans="2:11" x14ac:dyDescent="0.3">
      <c r="B481">
        <v>31</v>
      </c>
      <c r="C481" t="s">
        <v>442</v>
      </c>
      <c r="D481" t="s">
        <v>443</v>
      </c>
      <c r="E481" t="s">
        <v>12</v>
      </c>
      <c r="F481" s="6" t="s">
        <v>1370</v>
      </c>
      <c r="G481">
        <f>12000+(1200*12)</f>
        <v>26400</v>
      </c>
      <c r="H481">
        <v>30400</v>
      </c>
      <c r="K481" t="s">
        <v>1378</v>
      </c>
    </row>
    <row r="482" spans="2:11" x14ac:dyDescent="0.3">
      <c r="B482">
        <v>32</v>
      </c>
      <c r="C482" t="s">
        <v>84</v>
      </c>
      <c r="D482" t="s">
        <v>210</v>
      </c>
      <c r="E482" t="s">
        <v>12</v>
      </c>
      <c r="F482" s="6" t="s">
        <v>1380</v>
      </c>
      <c r="G482">
        <v>28800</v>
      </c>
      <c r="H482">
        <v>28800</v>
      </c>
      <c r="K482" t="s">
        <v>1381</v>
      </c>
    </row>
    <row r="483" spans="2:11" x14ac:dyDescent="0.3">
      <c r="B483">
        <v>33</v>
      </c>
      <c r="C483" t="s">
        <v>337</v>
      </c>
      <c r="D483" t="s">
        <v>765</v>
      </c>
      <c r="E483" t="s">
        <v>339</v>
      </c>
      <c r="F483" s="6" t="s">
        <v>1380</v>
      </c>
      <c r="G483">
        <v>12000</v>
      </c>
      <c r="H483">
        <v>12000</v>
      </c>
      <c r="K483" t="s">
        <v>1383</v>
      </c>
    </row>
    <row r="484" spans="2:11" x14ac:dyDescent="0.3">
      <c r="B484">
        <v>34</v>
      </c>
      <c r="C484" t="s">
        <v>23</v>
      </c>
      <c r="D484" t="s">
        <v>24</v>
      </c>
      <c r="E484" t="s">
        <v>12</v>
      </c>
      <c r="F484" s="6" t="s">
        <v>1380</v>
      </c>
      <c r="G484">
        <v>180000</v>
      </c>
      <c r="H484">
        <v>180000</v>
      </c>
      <c r="K484" t="s">
        <v>1385</v>
      </c>
    </row>
    <row r="485" spans="2:11" x14ac:dyDescent="0.3">
      <c r="E485" s="120" t="s">
        <v>1386</v>
      </c>
      <c r="F485" s="121"/>
      <c r="G485" s="121"/>
      <c r="H485" s="49">
        <f>SUM(H453:H484)</f>
        <v>996850</v>
      </c>
    </row>
    <row r="486" spans="2:11" x14ac:dyDescent="0.3">
      <c r="E486" s="124" t="s">
        <v>1390</v>
      </c>
      <c r="F486" s="125"/>
      <c r="G486" s="125"/>
      <c r="H486" s="84">
        <f>SUM(H485,H451,H435,H424,H405,H391,H375,H367,H354,H340,H329,H321)</f>
        <v>6017831</v>
      </c>
    </row>
    <row r="488" spans="2:11" x14ac:dyDescent="0.3">
      <c r="B488">
        <v>1</v>
      </c>
      <c r="C488" t="s">
        <v>1387</v>
      </c>
      <c r="D488" t="s">
        <v>649</v>
      </c>
      <c r="E488" t="s">
        <v>46</v>
      </c>
      <c r="F488" s="6" t="s">
        <v>1389</v>
      </c>
      <c r="G488">
        <v>12000</v>
      </c>
      <c r="H488">
        <v>12000</v>
      </c>
      <c r="I488">
        <f t="shared" ref="I488:I505" si="40">G488-H488</f>
        <v>0</v>
      </c>
      <c r="K488" t="s">
        <v>1424</v>
      </c>
    </row>
    <row r="489" spans="2:11" x14ac:dyDescent="0.3">
      <c r="B489">
        <v>2</v>
      </c>
      <c r="C489" t="s">
        <v>1388</v>
      </c>
      <c r="D489" t="s">
        <v>94</v>
      </c>
      <c r="E489" t="s">
        <v>12</v>
      </c>
      <c r="F489" s="6" t="s">
        <v>1389</v>
      </c>
      <c r="G489">
        <v>12000</v>
      </c>
      <c r="H489">
        <v>12000</v>
      </c>
      <c r="I489">
        <f t="shared" si="40"/>
        <v>0</v>
      </c>
      <c r="K489" t="s">
        <v>1444</v>
      </c>
    </row>
    <row r="490" spans="2:11" x14ac:dyDescent="0.3">
      <c r="B490">
        <v>3</v>
      </c>
      <c r="C490" t="s">
        <v>377</v>
      </c>
      <c r="D490" t="s">
        <v>119</v>
      </c>
      <c r="E490" t="s">
        <v>12</v>
      </c>
      <c r="F490" s="6" t="s">
        <v>1389</v>
      </c>
      <c r="G490">
        <v>42000</v>
      </c>
      <c r="H490">
        <f>22000+20000</f>
        <v>42000</v>
      </c>
      <c r="I490">
        <f t="shared" si="40"/>
        <v>0</v>
      </c>
      <c r="K490" t="s">
        <v>1412</v>
      </c>
    </row>
    <row r="491" spans="2:11" x14ac:dyDescent="0.3">
      <c r="B491">
        <v>4</v>
      </c>
      <c r="C491" t="s">
        <v>1388</v>
      </c>
      <c r="D491" t="s">
        <v>92</v>
      </c>
      <c r="E491" t="s">
        <v>12</v>
      </c>
      <c r="F491" s="6" t="s">
        <v>1389</v>
      </c>
      <c r="G491">
        <f>4*12000</f>
        <v>48000</v>
      </c>
      <c r="H491">
        <v>12000</v>
      </c>
      <c r="I491">
        <f t="shared" si="40"/>
        <v>36000</v>
      </c>
      <c r="K491" t="s">
        <v>1430</v>
      </c>
    </row>
    <row r="492" spans="2:11" x14ac:dyDescent="0.3">
      <c r="B492">
        <v>5</v>
      </c>
      <c r="C492" t="s">
        <v>683</v>
      </c>
      <c r="D492" t="s">
        <v>684</v>
      </c>
      <c r="E492" t="s">
        <v>51</v>
      </c>
      <c r="F492" s="6" t="s">
        <v>1389</v>
      </c>
      <c r="G492">
        <v>12000</v>
      </c>
      <c r="H492">
        <v>12000</v>
      </c>
      <c r="I492">
        <f t="shared" si="40"/>
        <v>0</v>
      </c>
      <c r="K492" t="s">
        <v>1418</v>
      </c>
    </row>
    <row r="493" spans="2:11" x14ac:dyDescent="0.3">
      <c r="B493">
        <v>6</v>
      </c>
      <c r="C493" t="s">
        <v>1391</v>
      </c>
      <c r="D493" t="s">
        <v>100</v>
      </c>
      <c r="E493" t="s">
        <v>12</v>
      </c>
      <c r="F493" s="6" t="s">
        <v>1389</v>
      </c>
      <c r="G493">
        <v>24000</v>
      </c>
      <c r="H493">
        <v>24000</v>
      </c>
      <c r="I493">
        <f t="shared" si="40"/>
        <v>0</v>
      </c>
      <c r="K493" t="s">
        <v>1413</v>
      </c>
    </row>
    <row r="494" spans="2:11" x14ac:dyDescent="0.3">
      <c r="B494">
        <v>7</v>
      </c>
      <c r="C494" t="s">
        <v>49</v>
      </c>
      <c r="D494" t="s">
        <v>49</v>
      </c>
      <c r="E494" t="s">
        <v>51</v>
      </c>
      <c r="F494" s="6" t="s">
        <v>1389</v>
      </c>
      <c r="G494">
        <v>12000</v>
      </c>
      <c r="H494">
        <v>12000</v>
      </c>
      <c r="I494">
        <f t="shared" si="40"/>
        <v>0</v>
      </c>
      <c r="K494" t="s">
        <v>1402</v>
      </c>
    </row>
    <row r="495" spans="2:11" x14ac:dyDescent="0.3">
      <c r="B495">
        <v>9</v>
      </c>
      <c r="C495" t="s">
        <v>1392</v>
      </c>
      <c r="D495" t="s">
        <v>1393</v>
      </c>
      <c r="E495" t="s">
        <v>15</v>
      </c>
      <c r="F495" s="6" t="s">
        <v>1389</v>
      </c>
      <c r="G495">
        <v>12000</v>
      </c>
      <c r="H495">
        <v>12000</v>
      </c>
      <c r="I495">
        <f t="shared" si="40"/>
        <v>0</v>
      </c>
      <c r="K495" t="s">
        <v>1428</v>
      </c>
    </row>
    <row r="496" spans="2:11" x14ac:dyDescent="0.3">
      <c r="B496">
        <v>10</v>
      </c>
      <c r="C496" t="s">
        <v>179</v>
      </c>
      <c r="D496" t="s">
        <v>61</v>
      </c>
      <c r="E496" t="s">
        <v>60</v>
      </c>
      <c r="F496" s="6" t="s">
        <v>1389</v>
      </c>
      <c r="G496">
        <v>6000</v>
      </c>
      <c r="H496">
        <v>6000</v>
      </c>
      <c r="I496">
        <f t="shared" si="40"/>
        <v>0</v>
      </c>
      <c r="K496" t="s">
        <v>1394</v>
      </c>
    </row>
    <row r="497" spans="2:11" x14ac:dyDescent="0.3">
      <c r="B497">
        <v>11</v>
      </c>
      <c r="C497" t="s">
        <v>1395</v>
      </c>
      <c r="F497" s="6" t="s">
        <v>1389</v>
      </c>
      <c r="G497">
        <v>1000</v>
      </c>
      <c r="H497">
        <v>1000</v>
      </c>
      <c r="I497">
        <f t="shared" si="40"/>
        <v>0</v>
      </c>
    </row>
    <row r="498" spans="2:11" x14ac:dyDescent="0.3">
      <c r="B498">
        <v>12</v>
      </c>
      <c r="C498" t="s">
        <v>1009</v>
      </c>
      <c r="D498" t="s">
        <v>103</v>
      </c>
      <c r="E498" t="s">
        <v>1396</v>
      </c>
      <c r="F498" s="6" t="s">
        <v>1389</v>
      </c>
      <c r="G498">
        <v>12000</v>
      </c>
      <c r="H498">
        <v>12000</v>
      </c>
      <c r="I498">
        <f t="shared" si="40"/>
        <v>0</v>
      </c>
      <c r="K498" t="s">
        <v>1407</v>
      </c>
    </row>
    <row r="499" spans="2:11" x14ac:dyDescent="0.3">
      <c r="B499">
        <v>13</v>
      </c>
      <c r="C499" t="s">
        <v>9</v>
      </c>
      <c r="D499" t="s">
        <v>14</v>
      </c>
      <c r="E499" t="s">
        <v>12</v>
      </c>
      <c r="F499" s="6" t="s">
        <v>1397</v>
      </c>
      <c r="G499">
        <f>12000*11</f>
        <v>132000</v>
      </c>
      <c r="H499">
        <v>132000</v>
      </c>
      <c r="I499">
        <f t="shared" si="40"/>
        <v>0</v>
      </c>
      <c r="K499" t="s">
        <v>1434</v>
      </c>
    </row>
    <row r="500" spans="2:11" x14ac:dyDescent="0.3">
      <c r="B500">
        <v>14</v>
      </c>
      <c r="C500" t="s">
        <v>402</v>
      </c>
      <c r="E500" t="s">
        <v>1398</v>
      </c>
      <c r="F500" s="6" t="s">
        <v>1389</v>
      </c>
      <c r="G500">
        <v>12000</v>
      </c>
      <c r="H500">
        <v>12000</v>
      </c>
      <c r="I500">
        <f t="shared" si="40"/>
        <v>0</v>
      </c>
      <c r="K500" t="s">
        <v>1440</v>
      </c>
    </row>
    <row r="501" spans="2:11" x14ac:dyDescent="0.3">
      <c r="B501">
        <v>15</v>
      </c>
      <c r="C501" t="s">
        <v>239</v>
      </c>
      <c r="G501">
        <v>3500</v>
      </c>
      <c r="H501">
        <v>3500</v>
      </c>
      <c r="I501">
        <f t="shared" si="40"/>
        <v>0</v>
      </c>
      <c r="K501" t="s">
        <v>1408</v>
      </c>
    </row>
    <row r="502" spans="2:11" x14ac:dyDescent="0.3">
      <c r="B502">
        <v>16</v>
      </c>
      <c r="C502" t="s">
        <v>1399</v>
      </c>
      <c r="D502" t="s">
        <v>340</v>
      </c>
      <c r="E502" t="s">
        <v>12</v>
      </c>
      <c r="F502" s="6" t="s">
        <v>1389</v>
      </c>
      <c r="G502">
        <v>6000</v>
      </c>
      <c r="H502">
        <v>6000</v>
      </c>
      <c r="I502">
        <f t="shared" si="40"/>
        <v>0</v>
      </c>
      <c r="K502" t="s">
        <v>1400</v>
      </c>
    </row>
    <row r="503" spans="2:11" x14ac:dyDescent="0.3">
      <c r="B503">
        <v>17</v>
      </c>
      <c r="C503" t="s">
        <v>366</v>
      </c>
      <c r="D503" t="s">
        <v>1404</v>
      </c>
      <c r="E503" t="s">
        <v>12</v>
      </c>
      <c r="F503" s="6" t="s">
        <v>1401</v>
      </c>
      <c r="G503">
        <v>6000</v>
      </c>
      <c r="H503">
        <v>6000</v>
      </c>
      <c r="I503">
        <f t="shared" si="40"/>
        <v>0</v>
      </c>
      <c r="K503" t="s">
        <v>1420</v>
      </c>
    </row>
    <row r="504" spans="2:11" x14ac:dyDescent="0.3">
      <c r="B504">
        <v>18</v>
      </c>
      <c r="C504" t="s">
        <v>1403</v>
      </c>
      <c r="D504" t="s">
        <v>1086</v>
      </c>
      <c r="E504" t="s">
        <v>746</v>
      </c>
      <c r="F504" s="6" t="s">
        <v>1401</v>
      </c>
      <c r="G504">
        <v>9000</v>
      </c>
      <c r="H504">
        <v>9000</v>
      </c>
      <c r="I504">
        <f t="shared" si="40"/>
        <v>0</v>
      </c>
      <c r="K504" t="s">
        <v>1533</v>
      </c>
    </row>
    <row r="505" spans="2:11" x14ac:dyDescent="0.3">
      <c r="B505">
        <v>19</v>
      </c>
      <c r="C505" t="s">
        <v>1403</v>
      </c>
      <c r="D505" t="s">
        <v>1086</v>
      </c>
      <c r="E505" t="s">
        <v>746</v>
      </c>
      <c r="F505" s="6" t="s">
        <v>1401</v>
      </c>
      <c r="G505">
        <f>50000+12000</f>
        <v>62000</v>
      </c>
      <c r="H505">
        <f>50000+12000</f>
        <v>62000</v>
      </c>
      <c r="I505">
        <f t="shared" si="40"/>
        <v>0</v>
      </c>
      <c r="K505" t="s">
        <v>1487</v>
      </c>
    </row>
    <row r="506" spans="2:11" x14ac:dyDescent="0.3">
      <c r="B506">
        <v>20</v>
      </c>
      <c r="C506" t="s">
        <v>1405</v>
      </c>
      <c r="D506" t="s">
        <v>1406</v>
      </c>
      <c r="E506" t="s">
        <v>746</v>
      </c>
      <c r="F506" s="6" t="s">
        <v>1401</v>
      </c>
      <c r="G506">
        <f>25000+24000+9000</f>
        <v>58000</v>
      </c>
      <c r="H506">
        <f>35000+20000+3000</f>
        <v>58000</v>
      </c>
      <c r="I506">
        <f>G506-H506</f>
        <v>0</v>
      </c>
      <c r="K506" t="s">
        <v>1494</v>
      </c>
    </row>
    <row r="507" spans="2:11" x14ac:dyDescent="0.3">
      <c r="B507">
        <v>21</v>
      </c>
      <c r="C507" t="s">
        <v>320</v>
      </c>
      <c r="D507" t="s">
        <v>1376</v>
      </c>
      <c r="E507" t="s">
        <v>12</v>
      </c>
      <c r="F507" s="6" t="s">
        <v>1409</v>
      </c>
      <c r="G507">
        <f>12000+25000</f>
        <v>37000</v>
      </c>
      <c r="H507">
        <v>37000</v>
      </c>
      <c r="I507">
        <f t="shared" ref="I507:I520" si="41">G507-H507</f>
        <v>0</v>
      </c>
      <c r="K507" t="s">
        <v>1419</v>
      </c>
    </row>
    <row r="508" spans="2:11" x14ac:dyDescent="0.3">
      <c r="B508">
        <v>22</v>
      </c>
      <c r="C508" t="s">
        <v>1109</v>
      </c>
      <c r="E508" t="s">
        <v>12</v>
      </c>
      <c r="F508" s="6" t="s">
        <v>1409</v>
      </c>
      <c r="G508">
        <v>6000</v>
      </c>
      <c r="H508">
        <v>6000</v>
      </c>
      <c r="I508">
        <f t="shared" si="41"/>
        <v>0</v>
      </c>
      <c r="K508" t="s">
        <v>1445</v>
      </c>
    </row>
    <row r="509" spans="2:11" x14ac:dyDescent="0.3">
      <c r="B509">
        <v>23</v>
      </c>
      <c r="C509" t="s">
        <v>1410</v>
      </c>
      <c r="D509" t="s">
        <v>1411</v>
      </c>
      <c r="E509" t="s">
        <v>12</v>
      </c>
      <c r="F509" s="6" t="s">
        <v>1409</v>
      </c>
      <c r="G509">
        <f>50000+24000-10000</f>
        <v>64000</v>
      </c>
      <c r="H509">
        <v>64000</v>
      </c>
      <c r="I509">
        <f t="shared" si="41"/>
        <v>0</v>
      </c>
      <c r="K509" t="s">
        <v>1446</v>
      </c>
    </row>
    <row r="510" spans="2:11" x14ac:dyDescent="0.3">
      <c r="B510">
        <v>24</v>
      </c>
      <c r="C510" t="s">
        <v>1415</v>
      </c>
      <c r="D510" t="s">
        <v>1414</v>
      </c>
      <c r="E510" t="s">
        <v>12</v>
      </c>
      <c r="F510" s="6" t="s">
        <v>1409</v>
      </c>
      <c r="G510">
        <f>20000+12000</f>
        <v>32000</v>
      </c>
      <c r="H510">
        <f>15000+5000+12000</f>
        <v>32000</v>
      </c>
      <c r="I510">
        <f t="shared" si="41"/>
        <v>0</v>
      </c>
      <c r="K510" t="s">
        <v>1452</v>
      </c>
    </row>
    <row r="511" spans="2:11" x14ac:dyDescent="0.3">
      <c r="B511">
        <v>25</v>
      </c>
      <c r="C511" t="s">
        <v>1441</v>
      </c>
      <c r="D511" t="s">
        <v>1416</v>
      </c>
      <c r="E511" t="s">
        <v>12</v>
      </c>
      <c r="F511" s="6" t="s">
        <v>1417</v>
      </c>
      <c r="G511">
        <f>30000+30000+30000+30000+30000+30000+30000+30000+30000+30000+30000+30000+30000+30000+20000+20000</f>
        <v>460000</v>
      </c>
      <c r="H511">
        <f>30000+30000+30000+30000+30000+30000+30000+30000+30000+30000+30000+30000+30000+30000+20000+20000</f>
        <v>460000</v>
      </c>
      <c r="I511">
        <f t="shared" si="41"/>
        <v>0</v>
      </c>
      <c r="K511" t="s">
        <v>2276</v>
      </c>
    </row>
    <row r="512" spans="2:11" x14ac:dyDescent="0.3">
      <c r="B512">
        <v>26</v>
      </c>
      <c r="C512" t="s">
        <v>204</v>
      </c>
      <c r="D512" t="s">
        <v>249</v>
      </c>
      <c r="E512" t="s">
        <v>12</v>
      </c>
      <c r="F512" s="6" t="s">
        <v>1421</v>
      </c>
      <c r="G512">
        <v>40000</v>
      </c>
      <c r="H512">
        <v>40000</v>
      </c>
      <c r="I512">
        <f t="shared" si="41"/>
        <v>0</v>
      </c>
      <c r="K512" t="s">
        <v>1443</v>
      </c>
    </row>
    <row r="513" spans="2:11" x14ac:dyDescent="0.3">
      <c r="B513">
        <v>27</v>
      </c>
      <c r="C513" t="s">
        <v>248</v>
      </c>
      <c r="D513" t="s">
        <v>249</v>
      </c>
      <c r="E513" t="s">
        <v>888</v>
      </c>
      <c r="F513" s="6" t="s">
        <v>1421</v>
      </c>
      <c r="G513">
        <v>48000</v>
      </c>
      <c r="H513">
        <v>48000</v>
      </c>
      <c r="I513">
        <f t="shared" si="41"/>
        <v>0</v>
      </c>
      <c r="K513" t="s">
        <v>1431</v>
      </c>
    </row>
    <row r="514" spans="2:11" x14ac:dyDescent="0.3">
      <c r="B514">
        <v>28</v>
      </c>
      <c r="C514" t="s">
        <v>954</v>
      </c>
      <c r="D514" t="s">
        <v>488</v>
      </c>
      <c r="E514" t="s">
        <v>106</v>
      </c>
      <c r="F514" s="6" t="s">
        <v>1423</v>
      </c>
      <c r="G514">
        <v>12000</v>
      </c>
      <c r="H514">
        <v>12000</v>
      </c>
      <c r="I514">
        <f t="shared" si="41"/>
        <v>0</v>
      </c>
      <c r="K514" t="s">
        <v>1449</v>
      </c>
    </row>
    <row r="515" spans="2:11" x14ac:dyDescent="0.3">
      <c r="B515">
        <v>29</v>
      </c>
      <c r="C515" t="s">
        <v>239</v>
      </c>
      <c r="G515">
        <f>11000</f>
        <v>11000</v>
      </c>
      <c r="H515">
        <f>11000</f>
        <v>11000</v>
      </c>
      <c r="I515">
        <f t="shared" si="41"/>
        <v>0</v>
      </c>
      <c r="K515" t="s">
        <v>1425</v>
      </c>
    </row>
    <row r="516" spans="2:11" x14ac:dyDescent="0.3">
      <c r="B516">
        <v>30</v>
      </c>
      <c r="C516" t="s">
        <v>487</v>
      </c>
      <c r="E516" t="s">
        <v>46</v>
      </c>
      <c r="F516" s="6" t="s">
        <v>1432</v>
      </c>
      <c r="G516">
        <v>6000</v>
      </c>
      <c r="H516">
        <v>6000</v>
      </c>
      <c r="I516">
        <f t="shared" si="41"/>
        <v>0</v>
      </c>
      <c r="K516" t="s">
        <v>1433</v>
      </c>
    </row>
    <row r="517" spans="2:11" x14ac:dyDescent="0.3">
      <c r="B517">
        <v>31</v>
      </c>
      <c r="C517" t="s">
        <v>363</v>
      </c>
      <c r="D517" t="s">
        <v>364</v>
      </c>
      <c r="E517" t="s">
        <v>12</v>
      </c>
      <c r="F517" s="6" t="s">
        <v>1436</v>
      </c>
      <c r="G517">
        <v>18000</v>
      </c>
      <c r="H517">
        <v>18000</v>
      </c>
      <c r="I517">
        <f t="shared" si="41"/>
        <v>0</v>
      </c>
      <c r="K517" t="s">
        <v>1437</v>
      </c>
    </row>
    <row r="518" spans="2:11" x14ac:dyDescent="0.3">
      <c r="B518">
        <v>32</v>
      </c>
      <c r="C518" t="s">
        <v>1084</v>
      </c>
      <c r="D518" t="s">
        <v>1086</v>
      </c>
      <c r="E518" t="s">
        <v>1085</v>
      </c>
      <c r="F518" s="6" t="s">
        <v>1438</v>
      </c>
      <c r="G518">
        <v>6000</v>
      </c>
      <c r="H518">
        <v>6000</v>
      </c>
      <c r="I518">
        <f t="shared" si="41"/>
        <v>0</v>
      </c>
      <c r="K518" t="s">
        <v>1439</v>
      </c>
    </row>
    <row r="519" spans="2:11" x14ac:dyDescent="0.3">
      <c r="B519">
        <v>33</v>
      </c>
      <c r="C519" t="s">
        <v>955</v>
      </c>
      <c r="D519" t="s">
        <v>344</v>
      </c>
      <c r="E519" t="s">
        <v>956</v>
      </c>
      <c r="F519" s="6" t="s">
        <v>1438</v>
      </c>
      <c r="G519">
        <v>12000</v>
      </c>
      <c r="H519">
        <v>12000</v>
      </c>
      <c r="I519">
        <f t="shared" si="41"/>
        <v>0</v>
      </c>
      <c r="K519" t="s">
        <v>1442</v>
      </c>
    </row>
    <row r="520" spans="2:11" x14ac:dyDescent="0.3">
      <c r="B520">
        <v>34</v>
      </c>
      <c r="C520" t="s">
        <v>1447</v>
      </c>
      <c r="D520" t="s">
        <v>18</v>
      </c>
      <c r="E520" t="s">
        <v>12</v>
      </c>
      <c r="F520" s="6" t="s">
        <v>1448</v>
      </c>
      <c r="G520">
        <f>25000+15000+9000</f>
        <v>49000</v>
      </c>
      <c r="H520">
        <v>49000</v>
      </c>
      <c r="I520">
        <f t="shared" si="41"/>
        <v>0</v>
      </c>
      <c r="K520" t="s">
        <v>1544</v>
      </c>
    </row>
    <row r="521" spans="2:11" x14ac:dyDescent="0.3">
      <c r="B521">
        <v>35</v>
      </c>
      <c r="C521" t="s">
        <v>335</v>
      </c>
      <c r="D521" t="s">
        <v>164</v>
      </c>
      <c r="F521" s="6" t="s">
        <v>1450</v>
      </c>
      <c r="G521">
        <v>6000</v>
      </c>
      <c r="H521">
        <v>6000</v>
      </c>
      <c r="K521" t="s">
        <v>1451</v>
      </c>
    </row>
    <row r="522" spans="2:11" x14ac:dyDescent="0.3">
      <c r="E522" s="120" t="s">
        <v>1453</v>
      </c>
      <c r="F522" s="121"/>
      <c r="G522" s="121"/>
      <c r="H522" s="49">
        <f>SUM(H488:H521)</f>
        <v>1252500</v>
      </c>
    </row>
    <row r="524" spans="2:11" x14ac:dyDescent="0.3">
      <c r="B524">
        <v>1</v>
      </c>
      <c r="C524" t="s">
        <v>1454</v>
      </c>
      <c r="D524" t="s">
        <v>1354</v>
      </c>
      <c r="E524" t="s">
        <v>39</v>
      </c>
      <c r="F524" s="6" t="s">
        <v>1455</v>
      </c>
      <c r="G524">
        <v>67000</v>
      </c>
      <c r="H524">
        <v>67000</v>
      </c>
      <c r="I524">
        <f t="shared" ref="I524:I533" si="42">G524-H524</f>
        <v>0</v>
      </c>
      <c r="K524" t="s">
        <v>1456</v>
      </c>
    </row>
    <row r="525" spans="2:11" x14ac:dyDescent="0.3">
      <c r="B525">
        <v>2</v>
      </c>
      <c r="C525" t="s">
        <v>1467</v>
      </c>
      <c r="D525" t="s">
        <v>1468</v>
      </c>
      <c r="E525" t="s">
        <v>1469</v>
      </c>
      <c r="F525" s="6" t="s">
        <v>1470</v>
      </c>
      <c r="G525">
        <f>14400+12000+60000</f>
        <v>86400</v>
      </c>
      <c r="H525">
        <f>14400</f>
        <v>14400</v>
      </c>
      <c r="I525">
        <f t="shared" si="42"/>
        <v>72000</v>
      </c>
      <c r="K525" t="s">
        <v>1472</v>
      </c>
    </row>
    <row r="526" spans="2:11" x14ac:dyDescent="0.3">
      <c r="B526">
        <v>3</v>
      </c>
      <c r="C526" t="s">
        <v>955</v>
      </c>
      <c r="D526" t="s">
        <v>344</v>
      </c>
      <c r="E526" t="s">
        <v>956</v>
      </c>
      <c r="F526" s="6" t="s">
        <v>1470</v>
      </c>
      <c r="G526">
        <v>5000</v>
      </c>
      <c r="I526">
        <f t="shared" si="42"/>
        <v>5000</v>
      </c>
      <c r="K526" t="s">
        <v>1471</v>
      </c>
    </row>
    <row r="527" spans="2:11" x14ac:dyDescent="0.3">
      <c r="B527">
        <v>4</v>
      </c>
      <c r="C527" t="s">
        <v>37</v>
      </c>
      <c r="D527" t="s">
        <v>192</v>
      </c>
      <c r="E527" t="s">
        <v>39</v>
      </c>
      <c r="F527" s="6" t="s">
        <v>1470</v>
      </c>
      <c r="G527">
        <f>14400+15000+25000+6000</f>
        <v>60400</v>
      </c>
      <c r="H527">
        <f>50000+10000+400</f>
        <v>60400</v>
      </c>
      <c r="I527">
        <f t="shared" si="42"/>
        <v>0</v>
      </c>
      <c r="K527" t="s">
        <v>1563</v>
      </c>
    </row>
    <row r="528" spans="2:11" x14ac:dyDescent="0.3">
      <c r="B528">
        <v>5</v>
      </c>
      <c r="C528" t="s">
        <v>1474</v>
      </c>
      <c r="D528" t="s">
        <v>1475</v>
      </c>
      <c r="E528" t="s">
        <v>12</v>
      </c>
      <c r="F528" s="6" t="s">
        <v>1476</v>
      </c>
      <c r="G528">
        <v>24000</v>
      </c>
      <c r="H528">
        <v>24000</v>
      </c>
      <c r="I528">
        <f t="shared" si="42"/>
        <v>0</v>
      </c>
      <c r="K528" t="s">
        <v>1477</v>
      </c>
    </row>
    <row r="529" spans="1:11" x14ac:dyDescent="0.3">
      <c r="B529">
        <v>6</v>
      </c>
      <c r="C529" t="s">
        <v>9</v>
      </c>
      <c r="D529" t="s">
        <v>1020</v>
      </c>
      <c r="E529" t="s">
        <v>1021</v>
      </c>
      <c r="F529" s="6" t="s">
        <v>1488</v>
      </c>
      <c r="G529">
        <v>12000</v>
      </c>
      <c r="H529">
        <v>12000</v>
      </c>
      <c r="I529">
        <f t="shared" si="42"/>
        <v>0</v>
      </c>
      <c r="K529" t="s">
        <v>1489</v>
      </c>
    </row>
    <row r="530" spans="1:11" x14ac:dyDescent="0.3">
      <c r="B530">
        <v>7</v>
      </c>
      <c r="C530" t="s">
        <v>1490</v>
      </c>
      <c r="D530" t="s">
        <v>100</v>
      </c>
      <c r="E530" t="s">
        <v>956</v>
      </c>
      <c r="F530" s="6" t="s">
        <v>1491</v>
      </c>
      <c r="G530">
        <v>52000</v>
      </c>
      <c r="H530">
        <f>25000+15000+12000</f>
        <v>52000</v>
      </c>
      <c r="I530">
        <f t="shared" si="42"/>
        <v>0</v>
      </c>
      <c r="K530" t="s">
        <v>1492</v>
      </c>
    </row>
    <row r="531" spans="1:11" x14ac:dyDescent="0.3">
      <c r="B531">
        <v>8</v>
      </c>
      <c r="C531" t="s">
        <v>1495</v>
      </c>
      <c r="D531" t="s">
        <v>24</v>
      </c>
      <c r="F531" s="6" t="s">
        <v>1496</v>
      </c>
      <c r="G531">
        <v>3000</v>
      </c>
      <c r="H531">
        <v>3000</v>
      </c>
      <c r="I531">
        <f t="shared" si="42"/>
        <v>0</v>
      </c>
      <c r="K531" t="s">
        <v>1503</v>
      </c>
    </row>
    <row r="532" spans="1:11" x14ac:dyDescent="0.3">
      <c r="B532">
        <v>9</v>
      </c>
      <c r="C532" t="s">
        <v>1497</v>
      </c>
      <c r="D532" t="s">
        <v>80</v>
      </c>
      <c r="E532" t="s">
        <v>1498</v>
      </c>
      <c r="F532" s="6" t="s">
        <v>1488</v>
      </c>
      <c r="G532">
        <f>25000+3000</f>
        <v>28000</v>
      </c>
      <c r="H532">
        <v>28000</v>
      </c>
      <c r="I532">
        <f t="shared" si="42"/>
        <v>0</v>
      </c>
      <c r="K532" t="s">
        <v>1499</v>
      </c>
    </row>
    <row r="533" spans="1:11" x14ac:dyDescent="0.3">
      <c r="B533">
        <v>10</v>
      </c>
      <c r="C533" t="s">
        <v>1500</v>
      </c>
      <c r="D533" t="s">
        <v>1475</v>
      </c>
      <c r="E533" t="s">
        <v>1501</v>
      </c>
      <c r="F533" s="6" t="s">
        <v>1502</v>
      </c>
      <c r="G533">
        <v>0</v>
      </c>
      <c r="H533">
        <v>0</v>
      </c>
      <c r="I533">
        <f t="shared" si="42"/>
        <v>0</v>
      </c>
      <c r="K533" t="s">
        <v>1594</v>
      </c>
    </row>
    <row r="534" spans="1:11" x14ac:dyDescent="0.3">
      <c r="E534" s="120" t="s">
        <v>1508</v>
      </c>
      <c r="F534" s="121"/>
      <c r="G534" s="121"/>
      <c r="H534" s="49">
        <f>SUM(H524:H533)</f>
        <v>260800</v>
      </c>
    </row>
    <row r="536" spans="1:11" x14ac:dyDescent="0.3">
      <c r="B536">
        <v>1</v>
      </c>
      <c r="C536" t="s">
        <v>761</v>
      </c>
      <c r="D536" t="s">
        <v>249</v>
      </c>
      <c r="E536" t="s">
        <v>762</v>
      </c>
      <c r="F536" s="6" t="s">
        <v>1509</v>
      </c>
      <c r="G536">
        <v>45000</v>
      </c>
      <c r="H536">
        <v>45000</v>
      </c>
      <c r="I536">
        <f t="shared" ref="I536:I562" si="43">G536-H536</f>
        <v>0</v>
      </c>
      <c r="K536" t="s">
        <v>1510</v>
      </c>
    </row>
    <row r="537" spans="1:11" x14ac:dyDescent="0.3">
      <c r="B537">
        <v>2</v>
      </c>
      <c r="C537" t="s">
        <v>690</v>
      </c>
      <c r="D537" t="s">
        <v>249</v>
      </c>
      <c r="E537" t="s">
        <v>12</v>
      </c>
      <c r="F537" s="6" t="s">
        <v>1511</v>
      </c>
      <c r="G537">
        <v>24000</v>
      </c>
      <c r="H537">
        <v>24000</v>
      </c>
      <c r="I537">
        <f t="shared" si="43"/>
        <v>0</v>
      </c>
      <c r="K537" t="s">
        <v>1512</v>
      </c>
    </row>
    <row r="538" spans="1:11" x14ac:dyDescent="0.3">
      <c r="B538">
        <v>3</v>
      </c>
      <c r="C538" t="s">
        <v>1513</v>
      </c>
      <c r="D538" t="s">
        <v>1514</v>
      </c>
      <c r="E538" t="s">
        <v>12</v>
      </c>
      <c r="F538" s="6" t="s">
        <v>1511</v>
      </c>
      <c r="G538">
        <f>40000+22000</f>
        <v>62000</v>
      </c>
      <c r="H538">
        <v>62000</v>
      </c>
      <c r="I538">
        <f t="shared" si="43"/>
        <v>0</v>
      </c>
      <c r="K538" t="s">
        <v>1520</v>
      </c>
    </row>
    <row r="539" spans="1:11" x14ac:dyDescent="0.3">
      <c r="B539">
        <v>4</v>
      </c>
      <c r="C539" t="s">
        <v>1515</v>
      </c>
      <c r="D539" t="s">
        <v>654</v>
      </c>
      <c r="E539" t="s">
        <v>746</v>
      </c>
      <c r="F539" s="6" t="s">
        <v>1516</v>
      </c>
      <c r="G539">
        <f>1500*11*3</f>
        <v>49500</v>
      </c>
      <c r="H539">
        <v>49500</v>
      </c>
      <c r="I539">
        <f t="shared" si="43"/>
        <v>0</v>
      </c>
      <c r="K539" t="s">
        <v>1521</v>
      </c>
    </row>
    <row r="540" spans="1:11" x14ac:dyDescent="0.3">
      <c r="B540">
        <v>5</v>
      </c>
      <c r="C540" t="s">
        <v>1517</v>
      </c>
      <c r="D540" t="s">
        <v>100</v>
      </c>
      <c r="E540" t="s">
        <v>12</v>
      </c>
      <c r="F540" s="6" t="s">
        <v>1516</v>
      </c>
      <c r="G540">
        <f>8000*2</f>
        <v>16000</v>
      </c>
      <c r="H540">
        <v>16000</v>
      </c>
      <c r="I540">
        <f t="shared" si="43"/>
        <v>0</v>
      </c>
      <c r="K540" t="s">
        <v>1518</v>
      </c>
    </row>
    <row r="541" spans="1:11" x14ac:dyDescent="0.3">
      <c r="B541">
        <v>6</v>
      </c>
      <c r="C541" t="s">
        <v>1541</v>
      </c>
      <c r="D541" t="s">
        <v>1519</v>
      </c>
      <c r="E541" t="s">
        <v>46</v>
      </c>
      <c r="F541" s="6" t="s">
        <v>1516</v>
      </c>
      <c r="G541">
        <f>30000+12000+8000</f>
        <v>50000</v>
      </c>
      <c r="H541">
        <f>42000+8000</f>
        <v>50000</v>
      </c>
      <c r="I541">
        <f t="shared" si="43"/>
        <v>0</v>
      </c>
      <c r="K541" t="s">
        <v>1550</v>
      </c>
    </row>
    <row r="542" spans="1:11" x14ac:dyDescent="0.3">
      <c r="A542" t="s">
        <v>2131</v>
      </c>
      <c r="B542">
        <v>7</v>
      </c>
      <c r="C542" t="s">
        <v>1522</v>
      </c>
      <c r="D542" t="s">
        <v>364</v>
      </c>
      <c r="E542" t="s">
        <v>12</v>
      </c>
      <c r="F542" s="6" t="s">
        <v>1483</v>
      </c>
      <c r="G542">
        <f>18000+18000</f>
        <v>36000</v>
      </c>
      <c r="H542">
        <v>50000</v>
      </c>
      <c r="I542">
        <f t="shared" si="43"/>
        <v>-14000</v>
      </c>
      <c r="K542" t="s">
        <v>1567</v>
      </c>
    </row>
    <row r="543" spans="1:11" x14ac:dyDescent="0.3">
      <c r="B543">
        <v>8</v>
      </c>
      <c r="C543" t="s">
        <v>1523</v>
      </c>
      <c r="D543" t="s">
        <v>364</v>
      </c>
      <c r="E543" t="s">
        <v>12</v>
      </c>
      <c r="F543" s="6" t="s">
        <v>1483</v>
      </c>
      <c r="G543">
        <f>30000+12000+10000+14400</f>
        <v>66400</v>
      </c>
      <c r="I543">
        <f t="shared" si="43"/>
        <v>66400</v>
      </c>
      <c r="K543" t="s">
        <v>1949</v>
      </c>
    </row>
    <row r="544" spans="1:11" x14ac:dyDescent="0.3">
      <c r="B544">
        <v>9</v>
      </c>
      <c r="C544" t="s">
        <v>1524</v>
      </c>
      <c r="D544" t="s">
        <v>364</v>
      </c>
      <c r="E544" t="s">
        <v>12</v>
      </c>
      <c r="F544" s="6" t="s">
        <v>1483</v>
      </c>
      <c r="G544">
        <f>40000+18000+10000+18000</f>
        <v>86000</v>
      </c>
      <c r="I544">
        <f t="shared" si="43"/>
        <v>86000</v>
      </c>
      <c r="K544" t="s">
        <v>1525</v>
      </c>
    </row>
    <row r="545" spans="2:11" x14ac:dyDescent="0.3">
      <c r="B545">
        <v>10</v>
      </c>
      <c r="C545" t="s">
        <v>1526</v>
      </c>
      <c r="D545" t="s">
        <v>364</v>
      </c>
      <c r="E545" t="s">
        <v>12</v>
      </c>
      <c r="F545" s="6" t="s">
        <v>1483</v>
      </c>
      <c r="G545">
        <f>10000+14000</f>
        <v>24000</v>
      </c>
      <c r="I545">
        <f t="shared" si="43"/>
        <v>24000</v>
      </c>
      <c r="K545" t="s">
        <v>1527</v>
      </c>
    </row>
    <row r="546" spans="2:11" x14ac:dyDescent="0.3">
      <c r="B546">
        <v>11</v>
      </c>
      <c r="C546" t="s">
        <v>886</v>
      </c>
      <c r="D546" t="s">
        <v>1528</v>
      </c>
      <c r="E546" t="s">
        <v>888</v>
      </c>
      <c r="F546" s="6" t="s">
        <v>1529</v>
      </c>
      <c r="G546">
        <f>45000+3800</f>
        <v>48800</v>
      </c>
      <c r="H546">
        <v>48800</v>
      </c>
      <c r="I546">
        <f t="shared" si="43"/>
        <v>0</v>
      </c>
      <c r="K546" t="s">
        <v>1565</v>
      </c>
    </row>
    <row r="547" spans="2:11" x14ac:dyDescent="0.3">
      <c r="B547">
        <v>12</v>
      </c>
      <c r="C547" t="s">
        <v>1530</v>
      </c>
      <c r="E547" t="s">
        <v>12</v>
      </c>
      <c r="G547">
        <f>20000+12000</f>
        <v>32000</v>
      </c>
      <c r="H547">
        <f>10000+10000+12000</f>
        <v>32000</v>
      </c>
      <c r="I547">
        <f t="shared" si="43"/>
        <v>0</v>
      </c>
      <c r="K547" t="s">
        <v>1564</v>
      </c>
    </row>
    <row r="548" spans="2:11" x14ac:dyDescent="0.3">
      <c r="B548">
        <v>13</v>
      </c>
      <c r="C548" t="s">
        <v>1403</v>
      </c>
      <c r="D548" t="s">
        <v>1086</v>
      </c>
      <c r="E548" t="s">
        <v>746</v>
      </c>
      <c r="F548" s="6" t="s">
        <v>1531</v>
      </c>
      <c r="G548">
        <v>9000</v>
      </c>
      <c r="H548">
        <v>9000</v>
      </c>
      <c r="I548">
        <f t="shared" si="43"/>
        <v>0</v>
      </c>
      <c r="K548" t="s">
        <v>1532</v>
      </c>
    </row>
    <row r="549" spans="2:11" x14ac:dyDescent="0.3">
      <c r="B549">
        <v>14</v>
      </c>
      <c r="C549" t="s">
        <v>1403</v>
      </c>
      <c r="D549" t="s">
        <v>1086</v>
      </c>
      <c r="E549" t="s">
        <v>746</v>
      </c>
      <c r="F549" s="6" t="s">
        <v>1531</v>
      </c>
      <c r="G549">
        <f>50000+12000</f>
        <v>62000</v>
      </c>
      <c r="H549">
        <f>50000+12000</f>
        <v>62000</v>
      </c>
      <c r="I549">
        <f t="shared" si="43"/>
        <v>0</v>
      </c>
      <c r="K549" t="s">
        <v>1585</v>
      </c>
    </row>
    <row r="550" spans="2:11" x14ac:dyDescent="0.3">
      <c r="B550">
        <v>15</v>
      </c>
      <c r="C550" t="s">
        <v>1534</v>
      </c>
      <c r="D550" t="s">
        <v>1278</v>
      </c>
      <c r="E550" t="s">
        <v>12</v>
      </c>
      <c r="F550" s="6" t="s">
        <v>1529</v>
      </c>
      <c r="G550">
        <v>7200</v>
      </c>
      <c r="H550">
        <v>7200</v>
      </c>
      <c r="I550">
        <f t="shared" si="43"/>
        <v>0</v>
      </c>
      <c r="K550" t="s">
        <v>1535</v>
      </c>
    </row>
    <row r="551" spans="2:11" x14ac:dyDescent="0.3">
      <c r="B551">
        <v>16</v>
      </c>
      <c r="C551" t="s">
        <v>1534</v>
      </c>
      <c r="D551" t="s">
        <v>1278</v>
      </c>
      <c r="E551" t="s">
        <v>12</v>
      </c>
      <c r="F551" s="6" t="s">
        <v>1529</v>
      </c>
      <c r="G551">
        <f>20000+6000</f>
        <v>26000</v>
      </c>
      <c r="H551">
        <f>7000+10000+5000</f>
        <v>22000</v>
      </c>
      <c r="I551">
        <f t="shared" si="43"/>
        <v>4000</v>
      </c>
      <c r="K551" t="s">
        <v>1927</v>
      </c>
    </row>
    <row r="552" spans="2:11" x14ac:dyDescent="0.3">
      <c r="B552">
        <v>17</v>
      </c>
      <c r="C552" t="s">
        <v>1536</v>
      </c>
      <c r="D552" t="s">
        <v>24</v>
      </c>
      <c r="E552" t="s">
        <v>12</v>
      </c>
      <c r="F552" s="6" t="s">
        <v>1483</v>
      </c>
      <c r="G552">
        <f>12000+7000</f>
        <v>19000</v>
      </c>
      <c r="H552">
        <v>19000</v>
      </c>
      <c r="I552">
        <f t="shared" si="43"/>
        <v>0</v>
      </c>
      <c r="K552" t="s">
        <v>1557</v>
      </c>
    </row>
    <row r="553" spans="2:11" x14ac:dyDescent="0.3">
      <c r="B553">
        <v>18</v>
      </c>
      <c r="C553" t="s">
        <v>17</v>
      </c>
      <c r="D553" t="s">
        <v>18</v>
      </c>
      <c r="E553" t="s">
        <v>12</v>
      </c>
      <c r="F553" s="6" t="s">
        <v>1537</v>
      </c>
      <c r="G553">
        <f>25000+15000+9000</f>
        <v>49000</v>
      </c>
      <c r="H553">
        <v>49000</v>
      </c>
      <c r="I553">
        <f t="shared" si="43"/>
        <v>0</v>
      </c>
      <c r="K553" t="s">
        <v>1556</v>
      </c>
    </row>
    <row r="554" spans="2:11" x14ac:dyDescent="0.3">
      <c r="B554">
        <v>19</v>
      </c>
      <c r="C554" t="s">
        <v>1538</v>
      </c>
      <c r="D554" t="s">
        <v>1539</v>
      </c>
      <c r="E554" t="s">
        <v>143</v>
      </c>
      <c r="F554" s="6" t="s">
        <v>1540</v>
      </c>
      <c r="G554">
        <f>55000+35000+25000+45000-10000</f>
        <v>150000</v>
      </c>
      <c r="H554">
        <f>100000+50000</f>
        <v>150000</v>
      </c>
      <c r="I554">
        <f t="shared" si="43"/>
        <v>0</v>
      </c>
      <c r="K554" t="s">
        <v>1589</v>
      </c>
    </row>
    <row r="555" spans="2:11" x14ac:dyDescent="0.3">
      <c r="B555">
        <v>20</v>
      </c>
      <c r="C555" t="s">
        <v>1530</v>
      </c>
      <c r="E555" t="s">
        <v>12</v>
      </c>
      <c r="F555" s="6" t="s">
        <v>1542</v>
      </c>
      <c r="G555">
        <v>10000</v>
      </c>
      <c r="H555">
        <v>10000</v>
      </c>
      <c r="I555">
        <f t="shared" si="43"/>
        <v>0</v>
      </c>
      <c r="K555" t="s">
        <v>1543</v>
      </c>
    </row>
    <row r="556" spans="2:11" x14ac:dyDescent="0.3">
      <c r="B556">
        <v>21</v>
      </c>
      <c r="C556" t="s">
        <v>1545</v>
      </c>
      <c r="D556" t="s">
        <v>1086</v>
      </c>
      <c r="E556" t="s">
        <v>12</v>
      </c>
      <c r="F556" s="6" t="s">
        <v>1546</v>
      </c>
      <c r="G556">
        <v>9000</v>
      </c>
      <c r="H556">
        <v>9000</v>
      </c>
      <c r="I556">
        <f t="shared" si="43"/>
        <v>0</v>
      </c>
      <c r="K556" t="s">
        <v>1547</v>
      </c>
    </row>
    <row r="557" spans="2:11" x14ac:dyDescent="0.3">
      <c r="B557">
        <v>22</v>
      </c>
      <c r="C557" t="s">
        <v>1545</v>
      </c>
      <c r="D557" t="s">
        <v>1086</v>
      </c>
      <c r="E557" t="s">
        <v>12</v>
      </c>
      <c r="F557" s="6" t="s">
        <v>1546</v>
      </c>
      <c r="G557">
        <f>50000+10000</f>
        <v>60000</v>
      </c>
      <c r="H557">
        <v>60000</v>
      </c>
      <c r="I557">
        <f t="shared" si="43"/>
        <v>0</v>
      </c>
      <c r="K557" t="s">
        <v>1587</v>
      </c>
    </row>
    <row r="558" spans="2:11" x14ac:dyDescent="0.3">
      <c r="B558">
        <v>23</v>
      </c>
      <c r="C558" t="s">
        <v>1551</v>
      </c>
      <c r="D558" t="s">
        <v>654</v>
      </c>
      <c r="E558" t="s">
        <v>1552</v>
      </c>
      <c r="F558" s="6" t="s">
        <v>1553</v>
      </c>
      <c r="G558">
        <f>1500*2*3</f>
        <v>9000</v>
      </c>
      <c r="H558">
        <v>9000</v>
      </c>
      <c r="I558">
        <f t="shared" si="43"/>
        <v>0</v>
      </c>
      <c r="K558" t="s">
        <v>1554</v>
      </c>
    </row>
    <row r="559" spans="2:11" x14ac:dyDescent="0.3">
      <c r="B559">
        <v>24</v>
      </c>
      <c r="C559" t="s">
        <v>1551</v>
      </c>
      <c r="D559" t="s">
        <v>654</v>
      </c>
      <c r="E559" t="s">
        <v>1552</v>
      </c>
      <c r="F559" s="6" t="s">
        <v>1553</v>
      </c>
      <c r="G559">
        <f>80000+50000+20000</f>
        <v>150000</v>
      </c>
      <c r="H559">
        <f>17000+57000</f>
        <v>74000</v>
      </c>
      <c r="I559">
        <f t="shared" si="43"/>
        <v>76000</v>
      </c>
      <c r="K559" t="s">
        <v>1566</v>
      </c>
    </row>
    <row r="560" spans="2:11" x14ac:dyDescent="0.3">
      <c r="B560">
        <v>25</v>
      </c>
      <c r="C560" t="s">
        <v>239</v>
      </c>
      <c r="G560">
        <v>3000</v>
      </c>
      <c r="H560">
        <f>3000</f>
        <v>3000</v>
      </c>
      <c r="I560">
        <f t="shared" si="43"/>
        <v>0</v>
      </c>
      <c r="K560" t="s">
        <v>1555</v>
      </c>
    </row>
    <row r="561" spans="2:11" x14ac:dyDescent="0.3">
      <c r="B561">
        <v>26</v>
      </c>
      <c r="C561" t="s">
        <v>1558</v>
      </c>
      <c r="D561" t="s">
        <v>1559</v>
      </c>
      <c r="E561" t="s">
        <v>60</v>
      </c>
      <c r="F561" s="6" t="s">
        <v>1560</v>
      </c>
      <c r="G561">
        <f>20000+6000</f>
        <v>26000</v>
      </c>
      <c r="H561">
        <v>26000</v>
      </c>
      <c r="I561">
        <f t="shared" si="43"/>
        <v>0</v>
      </c>
      <c r="K561" t="s">
        <v>1561</v>
      </c>
    </row>
    <row r="562" spans="2:11" x14ac:dyDescent="0.3">
      <c r="B562">
        <v>27</v>
      </c>
      <c r="C562" t="s">
        <v>1562</v>
      </c>
      <c r="D562" t="s">
        <v>130</v>
      </c>
      <c r="E562" t="s">
        <v>1362</v>
      </c>
      <c r="F562" s="6" t="s">
        <v>1560</v>
      </c>
      <c r="G562">
        <f>30000+10000-10000</f>
        <v>30000</v>
      </c>
      <c r="H562">
        <v>30000</v>
      </c>
      <c r="I562">
        <f t="shared" si="43"/>
        <v>0</v>
      </c>
      <c r="K562" t="s">
        <v>1609</v>
      </c>
    </row>
    <row r="563" spans="2:11" x14ac:dyDescent="0.3">
      <c r="E563" s="120" t="s">
        <v>1610</v>
      </c>
      <c r="F563" s="121"/>
      <c r="G563" s="121"/>
      <c r="H563" s="49">
        <f>SUM(H536:H562)</f>
        <v>916500</v>
      </c>
    </row>
    <row r="565" spans="2:11" x14ac:dyDescent="0.3">
      <c r="B565">
        <v>1</v>
      </c>
      <c r="C565" t="s">
        <v>1568</v>
      </c>
      <c r="D565" t="s">
        <v>789</v>
      </c>
      <c r="E565" t="s">
        <v>12</v>
      </c>
      <c r="F565" s="6" t="s">
        <v>1569</v>
      </c>
      <c r="G565">
        <v>6000</v>
      </c>
      <c r="H565">
        <v>6000</v>
      </c>
      <c r="I565">
        <f t="shared" ref="I565:I584" si="44">G565-H565</f>
        <v>0</v>
      </c>
      <c r="K565" t="s">
        <v>1573</v>
      </c>
    </row>
    <row r="566" spans="2:11" x14ac:dyDescent="0.3">
      <c r="B566">
        <v>2</v>
      </c>
      <c r="C566" t="s">
        <v>1270</v>
      </c>
      <c r="D566" t="s">
        <v>1272</v>
      </c>
      <c r="E566" t="s">
        <v>1271</v>
      </c>
      <c r="F566" s="6" t="s">
        <v>1570</v>
      </c>
      <c r="G566">
        <v>3000</v>
      </c>
      <c r="H566">
        <v>3000</v>
      </c>
      <c r="I566">
        <f t="shared" si="44"/>
        <v>0</v>
      </c>
      <c r="K566" t="s">
        <v>1581</v>
      </c>
    </row>
    <row r="567" spans="2:11" x14ac:dyDescent="0.3">
      <c r="B567">
        <v>3</v>
      </c>
      <c r="C567" t="s">
        <v>1333</v>
      </c>
      <c r="D567" t="s">
        <v>1571</v>
      </c>
      <c r="E567" t="s">
        <v>12</v>
      </c>
      <c r="F567" s="6" t="s">
        <v>1572</v>
      </c>
      <c r="G567">
        <v>13200</v>
      </c>
      <c r="H567">
        <v>13200</v>
      </c>
      <c r="I567">
        <f t="shared" si="44"/>
        <v>0</v>
      </c>
      <c r="K567" t="s">
        <v>1582</v>
      </c>
    </row>
    <row r="568" spans="2:11" x14ac:dyDescent="0.3">
      <c r="B568">
        <v>4</v>
      </c>
      <c r="C568" t="s">
        <v>1574</v>
      </c>
      <c r="D568" t="s">
        <v>1575</v>
      </c>
      <c r="E568" t="s">
        <v>12</v>
      </c>
      <c r="F568" s="6" t="s">
        <v>1576</v>
      </c>
      <c r="G568">
        <v>45000</v>
      </c>
      <c r="H568">
        <f>20000+12500+12500</f>
        <v>45000</v>
      </c>
      <c r="I568">
        <f t="shared" si="44"/>
        <v>0</v>
      </c>
      <c r="K568" t="s">
        <v>1743</v>
      </c>
    </row>
    <row r="569" spans="2:11" x14ac:dyDescent="0.3">
      <c r="B569">
        <v>5</v>
      </c>
      <c r="C569" t="s">
        <v>1122</v>
      </c>
      <c r="D569" t="s">
        <v>1578</v>
      </c>
      <c r="E569" t="s">
        <v>51</v>
      </c>
      <c r="F569" s="6" t="s">
        <v>1579</v>
      </c>
      <c r="G569">
        <v>12000</v>
      </c>
      <c r="H569">
        <v>12000</v>
      </c>
      <c r="I569">
        <f t="shared" si="44"/>
        <v>0</v>
      </c>
      <c r="K569" t="s">
        <v>1592</v>
      </c>
    </row>
    <row r="570" spans="2:11" x14ac:dyDescent="0.3">
      <c r="B570">
        <v>6</v>
      </c>
      <c r="C570" t="s">
        <v>188</v>
      </c>
      <c r="D570" t="s">
        <v>189</v>
      </c>
      <c r="E570" t="s">
        <v>12</v>
      </c>
      <c r="F570" s="6" t="s">
        <v>1580</v>
      </c>
      <c r="G570">
        <v>12000</v>
      </c>
      <c r="H570">
        <v>12000</v>
      </c>
      <c r="I570">
        <f t="shared" si="44"/>
        <v>0</v>
      </c>
      <c r="K570" t="s">
        <v>1586</v>
      </c>
    </row>
    <row r="571" spans="2:11" x14ac:dyDescent="0.3">
      <c r="B571">
        <v>7</v>
      </c>
      <c r="C571" t="s">
        <v>1583</v>
      </c>
      <c r="D571" t="s">
        <v>1164</v>
      </c>
      <c r="E571" t="s">
        <v>1253</v>
      </c>
      <c r="F571" s="6" t="s">
        <v>1584</v>
      </c>
      <c r="G571">
        <v>12000</v>
      </c>
      <c r="H571">
        <v>12000</v>
      </c>
      <c r="I571">
        <f t="shared" si="44"/>
        <v>0</v>
      </c>
      <c r="K571" t="s">
        <v>1596</v>
      </c>
    </row>
    <row r="572" spans="2:11" x14ac:dyDescent="0.3">
      <c r="B572">
        <v>8</v>
      </c>
      <c r="C572" t="s">
        <v>1590</v>
      </c>
      <c r="D572" t="s">
        <v>1539</v>
      </c>
      <c r="E572" t="s">
        <v>143</v>
      </c>
      <c r="F572" s="6" t="s">
        <v>1591</v>
      </c>
      <c r="G572">
        <f>50000+30000+20000+18000</f>
        <v>118000</v>
      </c>
      <c r="H572">
        <v>40000</v>
      </c>
      <c r="I572">
        <f t="shared" si="44"/>
        <v>78000</v>
      </c>
      <c r="K572" t="s">
        <v>1617</v>
      </c>
    </row>
    <row r="573" spans="2:11" x14ac:dyDescent="0.3">
      <c r="B573">
        <v>9</v>
      </c>
      <c r="C573" t="s">
        <v>1122</v>
      </c>
      <c r="D573" t="s">
        <v>1578</v>
      </c>
      <c r="E573" t="s">
        <v>51</v>
      </c>
      <c r="F573" s="6" t="s">
        <v>1593</v>
      </c>
      <c r="G573">
        <f>15000+1500</f>
        <v>16500</v>
      </c>
      <c r="H573">
        <v>16500</v>
      </c>
      <c r="I573">
        <f t="shared" si="44"/>
        <v>0</v>
      </c>
      <c r="K573" t="s">
        <v>1595</v>
      </c>
    </row>
    <row r="574" spans="2:11" x14ac:dyDescent="0.3">
      <c r="E574" s="120" t="s">
        <v>1611</v>
      </c>
      <c r="F574" s="121"/>
      <c r="G574" s="121"/>
      <c r="H574" s="49">
        <f>SUM(H565:H573)</f>
        <v>159700</v>
      </c>
    </row>
    <row r="576" spans="2:11" x14ac:dyDescent="0.3">
      <c r="B576">
        <v>1</v>
      </c>
      <c r="C576" t="s">
        <v>1602</v>
      </c>
      <c r="D576" t="s">
        <v>1599</v>
      </c>
      <c r="E576" t="s">
        <v>51</v>
      </c>
      <c r="F576" s="6" t="s">
        <v>1597</v>
      </c>
      <c r="G576">
        <f>30000+10000+14400+12000-12400</f>
        <v>54000</v>
      </c>
      <c r="H576">
        <f>4000+50000</f>
        <v>54000</v>
      </c>
      <c r="I576">
        <f t="shared" si="44"/>
        <v>0</v>
      </c>
      <c r="K576" t="s">
        <v>1618</v>
      </c>
    </row>
    <row r="577" spans="2:11" x14ac:dyDescent="0.3">
      <c r="B577">
        <v>2</v>
      </c>
      <c r="C577" t="s">
        <v>366</v>
      </c>
      <c r="D577" t="s">
        <v>115</v>
      </c>
      <c r="E577" t="s">
        <v>12</v>
      </c>
      <c r="F577" s="6" t="s">
        <v>1598</v>
      </c>
      <c r="G577">
        <f>5000+3500</f>
        <v>8500</v>
      </c>
      <c r="H577">
        <f>5000+3500</f>
        <v>8500</v>
      </c>
      <c r="I577">
        <f t="shared" si="44"/>
        <v>0</v>
      </c>
      <c r="K577" t="s">
        <v>1603</v>
      </c>
    </row>
    <row r="578" spans="2:11" x14ac:dyDescent="0.3">
      <c r="B578">
        <v>3</v>
      </c>
      <c r="C578" t="s">
        <v>1600</v>
      </c>
      <c r="D578" t="s">
        <v>26</v>
      </c>
      <c r="E578" t="s">
        <v>51</v>
      </c>
      <c r="F578" s="6" t="s">
        <v>1598</v>
      </c>
      <c r="G578">
        <f>6000+6000</f>
        <v>12000</v>
      </c>
      <c r="H578">
        <v>12000</v>
      </c>
      <c r="I578">
        <f t="shared" si="44"/>
        <v>0</v>
      </c>
      <c r="K578" t="s">
        <v>1608</v>
      </c>
    </row>
    <row r="579" spans="2:11" x14ac:dyDescent="0.3">
      <c r="B579">
        <v>4</v>
      </c>
      <c r="C579" t="s">
        <v>610</v>
      </c>
      <c r="D579" t="s">
        <v>94</v>
      </c>
      <c r="E579" t="s">
        <v>12</v>
      </c>
      <c r="F579" s="6" t="s">
        <v>1597</v>
      </c>
      <c r="G579">
        <f>18000-3000</f>
        <v>15000</v>
      </c>
      <c r="I579">
        <f t="shared" si="44"/>
        <v>15000</v>
      </c>
      <c r="K579" t="s">
        <v>1601</v>
      </c>
    </row>
    <row r="580" spans="2:11" x14ac:dyDescent="0.3">
      <c r="B580">
        <v>5</v>
      </c>
      <c r="C580" t="s">
        <v>1604</v>
      </c>
      <c r="D580" t="s">
        <v>1605</v>
      </c>
      <c r="E580" t="s">
        <v>245</v>
      </c>
      <c r="F580" s="6" t="s">
        <v>1606</v>
      </c>
      <c r="G580">
        <f>12000+14400</f>
        <v>26400</v>
      </c>
      <c r="H580">
        <v>26400</v>
      </c>
      <c r="I580">
        <f t="shared" si="44"/>
        <v>0</v>
      </c>
      <c r="K580" t="s">
        <v>1607</v>
      </c>
    </row>
    <row r="581" spans="2:11" x14ac:dyDescent="0.3">
      <c r="B581">
        <v>6</v>
      </c>
      <c r="C581" t="s">
        <v>1613</v>
      </c>
      <c r="D581" t="s">
        <v>1020</v>
      </c>
      <c r="E581" t="s">
        <v>12</v>
      </c>
      <c r="F581" s="6" t="s">
        <v>1614</v>
      </c>
      <c r="G581">
        <v>20000</v>
      </c>
      <c r="H581">
        <v>20000</v>
      </c>
      <c r="I581">
        <f t="shared" si="44"/>
        <v>0</v>
      </c>
      <c r="K581" t="s">
        <v>1615</v>
      </c>
    </row>
    <row r="582" spans="2:11" x14ac:dyDescent="0.3">
      <c r="B582">
        <v>7</v>
      </c>
      <c r="C582" t="s">
        <v>1619</v>
      </c>
      <c r="D582" t="s">
        <v>1278</v>
      </c>
      <c r="E582" t="s">
        <v>12</v>
      </c>
      <c r="F582" s="6" t="s">
        <v>1620</v>
      </c>
      <c r="G582">
        <v>15000</v>
      </c>
      <c r="H582">
        <f>10500+4500</f>
        <v>15000</v>
      </c>
      <c r="I582">
        <f t="shared" si="44"/>
        <v>0</v>
      </c>
      <c r="K582" t="s">
        <v>1653</v>
      </c>
    </row>
    <row r="583" spans="2:11" x14ac:dyDescent="0.3">
      <c r="B583">
        <v>8</v>
      </c>
      <c r="C583" t="s">
        <v>1623</v>
      </c>
      <c r="D583" t="s">
        <v>18</v>
      </c>
      <c r="E583" t="s">
        <v>12</v>
      </c>
      <c r="F583" s="6" t="s">
        <v>1624</v>
      </c>
      <c r="G583">
        <f>1400*12</f>
        <v>16800</v>
      </c>
      <c r="H583">
        <v>16800</v>
      </c>
      <c r="I583">
        <f t="shared" si="44"/>
        <v>0</v>
      </c>
      <c r="K583" t="s">
        <v>1652</v>
      </c>
    </row>
    <row r="584" spans="2:11" x14ac:dyDescent="0.3">
      <c r="B584">
        <v>9</v>
      </c>
      <c r="C584" t="s">
        <v>360</v>
      </c>
      <c r="D584" t="s">
        <v>18</v>
      </c>
      <c r="E584" t="s">
        <v>12</v>
      </c>
      <c r="F584" s="6" t="s">
        <v>1624</v>
      </c>
      <c r="G584">
        <f>1400*12</f>
        <v>16800</v>
      </c>
      <c r="H584">
        <v>16800</v>
      </c>
      <c r="I584">
        <f t="shared" si="44"/>
        <v>0</v>
      </c>
      <c r="K584" t="s">
        <v>1652</v>
      </c>
    </row>
    <row r="585" spans="2:11" x14ac:dyDescent="0.3">
      <c r="E585" s="120" t="s">
        <v>1662</v>
      </c>
      <c r="F585" s="121"/>
      <c r="G585" s="121"/>
      <c r="H585" s="49">
        <f>SUM(H576:H584)</f>
        <v>169500</v>
      </c>
    </row>
    <row r="586" spans="2:11" x14ac:dyDescent="0.3">
      <c r="F586" s="6" t="s">
        <v>316</v>
      </c>
    </row>
    <row r="587" spans="2:11" x14ac:dyDescent="0.3">
      <c r="B587">
        <v>1</v>
      </c>
      <c r="C587" t="s">
        <v>1625</v>
      </c>
      <c r="D587" t="s">
        <v>192</v>
      </c>
      <c r="E587" t="s">
        <v>51</v>
      </c>
      <c r="F587" s="6" t="s">
        <v>1621</v>
      </c>
      <c r="G587">
        <v>7200</v>
      </c>
      <c r="H587">
        <v>7200</v>
      </c>
      <c r="I587">
        <f t="shared" ref="I587:I611" si="45">G587-H587</f>
        <v>0</v>
      </c>
      <c r="K587" t="s">
        <v>1718</v>
      </c>
    </row>
    <row r="588" spans="2:11" x14ac:dyDescent="0.3">
      <c r="B588">
        <v>2</v>
      </c>
      <c r="C588" s="83" t="s">
        <v>1163</v>
      </c>
      <c r="D588" t="s">
        <v>1164</v>
      </c>
      <c r="E588" t="s">
        <v>12</v>
      </c>
      <c r="F588" s="6" t="s">
        <v>1621</v>
      </c>
      <c r="G588">
        <v>12000</v>
      </c>
      <c r="H588">
        <v>12000</v>
      </c>
      <c r="I588">
        <f t="shared" si="45"/>
        <v>0</v>
      </c>
      <c r="K588" t="s">
        <v>1639</v>
      </c>
    </row>
    <row r="589" spans="2:11" x14ac:dyDescent="0.3">
      <c r="B589">
        <v>3</v>
      </c>
      <c r="C589" t="s">
        <v>1515</v>
      </c>
      <c r="D589" t="s">
        <v>654</v>
      </c>
      <c r="E589" t="s">
        <v>746</v>
      </c>
      <c r="F589" s="6" t="s">
        <v>1621</v>
      </c>
      <c r="G589">
        <f>1500*11*3</f>
        <v>49500</v>
      </c>
      <c r="H589">
        <v>49500</v>
      </c>
      <c r="I589">
        <f t="shared" si="45"/>
        <v>0</v>
      </c>
      <c r="K589" t="s">
        <v>1626</v>
      </c>
    </row>
    <row r="590" spans="2:11" x14ac:dyDescent="0.3">
      <c r="B590">
        <v>4</v>
      </c>
      <c r="C590" t="s">
        <v>1551</v>
      </c>
      <c r="D590" t="s">
        <v>654</v>
      </c>
      <c r="E590" t="s">
        <v>51</v>
      </c>
      <c r="F590" s="6" t="s">
        <v>1621</v>
      </c>
      <c r="G590">
        <v>4500</v>
      </c>
      <c r="H590">
        <v>4500</v>
      </c>
      <c r="I590">
        <f t="shared" si="45"/>
        <v>0</v>
      </c>
      <c r="K590" t="s">
        <v>1650</v>
      </c>
    </row>
    <row r="591" spans="2:11" x14ac:dyDescent="0.3">
      <c r="B591">
        <v>5</v>
      </c>
      <c r="C591" t="s">
        <v>1627</v>
      </c>
      <c r="D591" t="s">
        <v>126</v>
      </c>
      <c r="E591" t="s">
        <v>39</v>
      </c>
      <c r="F591" s="6" t="s">
        <v>1548</v>
      </c>
      <c r="G591">
        <v>5000</v>
      </c>
      <c r="H591">
        <v>5000</v>
      </c>
      <c r="I591">
        <f t="shared" si="45"/>
        <v>0</v>
      </c>
      <c r="K591" t="s">
        <v>1631</v>
      </c>
    </row>
    <row r="592" spans="2:11" x14ac:dyDescent="0.3">
      <c r="B592">
        <v>6</v>
      </c>
      <c r="C592" t="s">
        <v>1628</v>
      </c>
      <c r="D592" t="s">
        <v>926</v>
      </c>
      <c r="E592" t="s">
        <v>46</v>
      </c>
      <c r="F592" s="6" t="s">
        <v>1629</v>
      </c>
      <c r="G592">
        <f>75000+15000+6000</f>
        <v>96000</v>
      </c>
      <c r="H592">
        <f>40000+35000+12000+9000</f>
        <v>96000</v>
      </c>
      <c r="I592">
        <f t="shared" si="45"/>
        <v>0</v>
      </c>
      <c r="K592" t="s">
        <v>1719</v>
      </c>
    </row>
    <row r="593" spans="2:11" x14ac:dyDescent="0.3">
      <c r="B593">
        <v>7</v>
      </c>
      <c r="C593" t="s">
        <v>1630</v>
      </c>
      <c r="D593" t="s">
        <v>1020</v>
      </c>
      <c r="E593" t="s">
        <v>12</v>
      </c>
      <c r="F593" s="6" t="s">
        <v>1621</v>
      </c>
      <c r="G593">
        <v>50000</v>
      </c>
      <c r="H593">
        <f>25000+25000</f>
        <v>50000</v>
      </c>
      <c r="I593">
        <f t="shared" si="45"/>
        <v>0</v>
      </c>
      <c r="K593" t="s">
        <v>1793</v>
      </c>
    </row>
    <row r="594" spans="2:11" x14ac:dyDescent="0.3">
      <c r="B594">
        <v>8</v>
      </c>
      <c r="C594" t="s">
        <v>473</v>
      </c>
      <c r="D594" t="s">
        <v>119</v>
      </c>
      <c r="E594" t="s">
        <v>7</v>
      </c>
      <c r="F594" s="6" t="s">
        <v>1632</v>
      </c>
      <c r="G594">
        <v>6000</v>
      </c>
      <c r="H594">
        <v>6000</v>
      </c>
      <c r="I594">
        <f t="shared" si="45"/>
        <v>0</v>
      </c>
      <c r="K594" t="s">
        <v>1635</v>
      </c>
    </row>
    <row r="595" spans="2:11" x14ac:dyDescent="0.3">
      <c r="B595">
        <v>9</v>
      </c>
      <c r="C595" t="s">
        <v>1633</v>
      </c>
      <c r="D595" t="s">
        <v>130</v>
      </c>
      <c r="E595" t="s">
        <v>1634</v>
      </c>
      <c r="G595">
        <v>12000</v>
      </c>
      <c r="H595">
        <v>6000</v>
      </c>
      <c r="I595">
        <f t="shared" si="45"/>
        <v>6000</v>
      </c>
      <c r="K595" t="s">
        <v>1872</v>
      </c>
    </row>
    <row r="596" spans="2:11" x14ac:dyDescent="0.3">
      <c r="C596" t="s">
        <v>1633</v>
      </c>
      <c r="D596" t="s">
        <v>130</v>
      </c>
      <c r="E596" t="s">
        <v>1634</v>
      </c>
      <c r="G596">
        <v>6000</v>
      </c>
      <c r="H596">
        <v>6000</v>
      </c>
      <c r="I596">
        <f t="shared" si="45"/>
        <v>0</v>
      </c>
      <c r="K596" t="s">
        <v>2675</v>
      </c>
    </row>
    <row r="597" spans="2:11" x14ac:dyDescent="0.3">
      <c r="B597">
        <v>12</v>
      </c>
      <c r="C597" t="s">
        <v>1105</v>
      </c>
      <c r="D597" t="s">
        <v>2353</v>
      </c>
      <c r="E597" t="s">
        <v>46</v>
      </c>
      <c r="F597" s="6" t="s">
        <v>2354</v>
      </c>
      <c r="H597">
        <v>3000</v>
      </c>
      <c r="K597" t="s">
        <v>2355</v>
      </c>
    </row>
    <row r="598" spans="2:11" x14ac:dyDescent="0.3">
      <c r="B598">
        <v>10</v>
      </c>
      <c r="C598" t="s">
        <v>1637</v>
      </c>
      <c r="D598" t="s">
        <v>123</v>
      </c>
      <c r="E598" t="s">
        <v>46</v>
      </c>
      <c r="F598" s="6" t="s">
        <v>1642</v>
      </c>
      <c r="G598">
        <v>12000</v>
      </c>
      <c r="I598">
        <f t="shared" si="45"/>
        <v>12000</v>
      </c>
      <c r="K598" t="s">
        <v>1638</v>
      </c>
    </row>
    <row r="599" spans="2:11" x14ac:dyDescent="0.3">
      <c r="B599">
        <v>11</v>
      </c>
      <c r="C599" t="s">
        <v>1640</v>
      </c>
      <c r="D599" t="s">
        <v>1324</v>
      </c>
      <c r="E599" t="s">
        <v>1641</v>
      </c>
      <c r="F599" s="6" t="s">
        <v>1642</v>
      </c>
      <c r="G599">
        <f>30000+12000</f>
        <v>42000</v>
      </c>
      <c r="H599">
        <v>42000</v>
      </c>
      <c r="I599">
        <f t="shared" si="45"/>
        <v>0</v>
      </c>
      <c r="K599" t="s">
        <v>1781</v>
      </c>
    </row>
    <row r="600" spans="2:11" x14ac:dyDescent="0.3">
      <c r="B600">
        <v>12</v>
      </c>
      <c r="C600" t="s">
        <v>1643</v>
      </c>
      <c r="D600" t="s">
        <v>119</v>
      </c>
      <c r="E600" t="s">
        <v>22</v>
      </c>
      <c r="F600" s="6" t="s">
        <v>1644</v>
      </c>
      <c r="G600">
        <v>12000</v>
      </c>
      <c r="H600">
        <v>12000</v>
      </c>
      <c r="I600">
        <f t="shared" si="45"/>
        <v>0</v>
      </c>
      <c r="K600" t="s">
        <v>1717</v>
      </c>
    </row>
    <row r="601" spans="2:11" x14ac:dyDescent="0.3">
      <c r="B601">
        <v>13</v>
      </c>
      <c r="C601" t="s">
        <v>886</v>
      </c>
      <c r="D601" t="s">
        <v>249</v>
      </c>
      <c r="E601" t="s">
        <v>888</v>
      </c>
      <c r="F601" s="6" t="s">
        <v>1645</v>
      </c>
      <c r="G601">
        <v>48000</v>
      </c>
      <c r="H601">
        <v>48000</v>
      </c>
      <c r="I601">
        <f t="shared" si="45"/>
        <v>0</v>
      </c>
      <c r="K601" t="s">
        <v>1716</v>
      </c>
    </row>
    <row r="602" spans="2:11" x14ac:dyDescent="0.3">
      <c r="B602">
        <v>14</v>
      </c>
      <c r="C602" t="s">
        <v>204</v>
      </c>
      <c r="D602" t="s">
        <v>249</v>
      </c>
      <c r="E602" t="s">
        <v>12</v>
      </c>
      <c r="F602" s="6" t="s">
        <v>1645</v>
      </c>
      <c r="G602">
        <v>40000</v>
      </c>
      <c r="H602">
        <v>40000</v>
      </c>
      <c r="I602">
        <f t="shared" si="45"/>
        <v>0</v>
      </c>
      <c r="K602" t="s">
        <v>1715</v>
      </c>
    </row>
    <row r="603" spans="2:11" x14ac:dyDescent="0.3">
      <c r="B603">
        <v>15</v>
      </c>
      <c r="C603" t="s">
        <v>366</v>
      </c>
      <c r="D603" t="s">
        <v>1647</v>
      </c>
      <c r="E603" t="s">
        <v>12</v>
      </c>
      <c r="F603" s="6" t="s">
        <v>1645</v>
      </c>
      <c r="G603">
        <v>6000</v>
      </c>
      <c r="H603">
        <v>6000</v>
      </c>
      <c r="I603">
        <f t="shared" si="45"/>
        <v>0</v>
      </c>
      <c r="K603" t="s">
        <v>1649</v>
      </c>
    </row>
    <row r="604" spans="2:11" x14ac:dyDescent="0.3">
      <c r="B604">
        <v>16</v>
      </c>
      <c r="C604" t="s">
        <v>366</v>
      </c>
      <c r="D604" t="s">
        <v>1647</v>
      </c>
      <c r="E604" t="s">
        <v>12</v>
      </c>
      <c r="F604" s="6" t="s">
        <v>1645</v>
      </c>
      <c r="G604">
        <v>5000</v>
      </c>
      <c r="H604">
        <v>5000</v>
      </c>
      <c r="I604">
        <f t="shared" si="45"/>
        <v>0</v>
      </c>
      <c r="K604" t="s">
        <v>1648</v>
      </c>
    </row>
    <row r="605" spans="2:11" x14ac:dyDescent="0.3">
      <c r="B605">
        <v>17</v>
      </c>
      <c r="C605" t="s">
        <v>1651</v>
      </c>
      <c r="D605" t="s">
        <v>1792</v>
      </c>
      <c r="E605" t="s">
        <v>12</v>
      </c>
      <c r="F605" s="6" t="s">
        <v>1645</v>
      </c>
      <c r="G605">
        <v>20000</v>
      </c>
      <c r="I605" s="86">
        <f t="shared" si="45"/>
        <v>20000</v>
      </c>
      <c r="K605" t="s">
        <v>1742</v>
      </c>
    </row>
    <row r="606" spans="2:11" x14ac:dyDescent="0.3">
      <c r="B606">
        <v>18</v>
      </c>
      <c r="C606" t="s">
        <v>179</v>
      </c>
      <c r="D606" t="s">
        <v>1654</v>
      </c>
      <c r="E606" t="s">
        <v>60</v>
      </c>
      <c r="F606" s="6" t="s">
        <v>1655</v>
      </c>
      <c r="G606">
        <v>6000</v>
      </c>
      <c r="H606">
        <v>6000</v>
      </c>
      <c r="I606">
        <f t="shared" si="45"/>
        <v>0</v>
      </c>
      <c r="K606" t="s">
        <v>1669</v>
      </c>
    </row>
    <row r="607" spans="2:11" x14ac:dyDescent="0.3">
      <c r="B607">
        <v>19</v>
      </c>
      <c r="C607" t="s">
        <v>281</v>
      </c>
      <c r="D607" t="s">
        <v>340</v>
      </c>
      <c r="E607" t="s">
        <v>12</v>
      </c>
      <c r="F607" s="6" t="s">
        <v>1655</v>
      </c>
      <c r="G607">
        <v>6000</v>
      </c>
      <c r="H607">
        <v>6000</v>
      </c>
      <c r="I607">
        <f t="shared" si="45"/>
        <v>0</v>
      </c>
      <c r="K607" t="s">
        <v>1657</v>
      </c>
    </row>
    <row r="608" spans="2:11" x14ac:dyDescent="0.3">
      <c r="B608">
        <v>20</v>
      </c>
      <c r="C608" t="s">
        <v>1656</v>
      </c>
      <c r="D608" t="s">
        <v>119</v>
      </c>
      <c r="E608" t="s">
        <v>22</v>
      </c>
      <c r="F608" s="6" t="s">
        <v>1655</v>
      </c>
      <c r="G608">
        <f>12000+5000</f>
        <v>17000</v>
      </c>
      <c r="H608">
        <f>12000+5000</f>
        <v>17000</v>
      </c>
      <c r="I608">
        <f t="shared" si="45"/>
        <v>0</v>
      </c>
      <c r="K608" t="s">
        <v>1714</v>
      </c>
    </row>
    <row r="609" spans="2:11" x14ac:dyDescent="0.3">
      <c r="B609">
        <v>21</v>
      </c>
      <c r="C609" t="s">
        <v>695</v>
      </c>
      <c r="D609" t="s">
        <v>1202</v>
      </c>
      <c r="E609" t="s">
        <v>12</v>
      </c>
      <c r="F609" s="6" t="s">
        <v>1486</v>
      </c>
      <c r="G609">
        <v>18000</v>
      </c>
      <c r="H609">
        <v>18000</v>
      </c>
      <c r="I609">
        <f t="shared" si="45"/>
        <v>0</v>
      </c>
      <c r="K609" t="s">
        <v>1646</v>
      </c>
    </row>
    <row r="610" spans="2:11" x14ac:dyDescent="0.3">
      <c r="B610">
        <v>22</v>
      </c>
      <c r="C610" t="s">
        <v>1658</v>
      </c>
      <c r="D610" t="s">
        <v>92</v>
      </c>
      <c r="E610" t="s">
        <v>12</v>
      </c>
      <c r="F610" s="6" t="s">
        <v>1486</v>
      </c>
      <c r="G610">
        <v>6000</v>
      </c>
      <c r="H610">
        <v>6000</v>
      </c>
      <c r="K610" t="s">
        <v>1659</v>
      </c>
    </row>
    <row r="611" spans="2:11" x14ac:dyDescent="0.3">
      <c r="B611">
        <v>23</v>
      </c>
      <c r="C611" t="s">
        <v>1660</v>
      </c>
      <c r="D611" t="s">
        <v>1661</v>
      </c>
      <c r="E611" t="s">
        <v>12</v>
      </c>
      <c r="F611" s="6" t="s">
        <v>1486</v>
      </c>
      <c r="G611">
        <v>20000</v>
      </c>
      <c r="I611">
        <f t="shared" si="45"/>
        <v>20000</v>
      </c>
      <c r="K611" t="s">
        <v>1668</v>
      </c>
    </row>
    <row r="612" spans="2:11" x14ac:dyDescent="0.3">
      <c r="E612" s="120" t="s">
        <v>1728</v>
      </c>
      <c r="F612" s="121"/>
      <c r="G612" s="121"/>
      <c r="H612" s="49">
        <f>SUM(H587:H611)</f>
        <v>451200</v>
      </c>
    </row>
    <row r="614" spans="2:11" x14ac:dyDescent="0.3">
      <c r="B614">
        <v>1</v>
      </c>
      <c r="C614" t="s">
        <v>1663</v>
      </c>
      <c r="D614" t="s">
        <v>1086</v>
      </c>
      <c r="E614" t="s">
        <v>46</v>
      </c>
      <c r="F614" s="6" t="s">
        <v>1664</v>
      </c>
      <c r="G614">
        <v>6000</v>
      </c>
      <c r="H614">
        <v>6000</v>
      </c>
      <c r="I614">
        <f t="shared" ref="I614:I623" si="46">G614-H614</f>
        <v>0</v>
      </c>
      <c r="K614" t="s">
        <v>1665</v>
      </c>
    </row>
    <row r="615" spans="2:11" x14ac:dyDescent="0.3">
      <c r="B615">
        <v>2</v>
      </c>
      <c r="C615" t="s">
        <v>1666</v>
      </c>
      <c r="D615" t="s">
        <v>1245</v>
      </c>
      <c r="E615" t="s">
        <v>46</v>
      </c>
      <c r="F615" s="6" t="s">
        <v>1664</v>
      </c>
      <c r="G615">
        <v>6000</v>
      </c>
      <c r="I615">
        <f t="shared" si="46"/>
        <v>6000</v>
      </c>
      <c r="K615" t="s">
        <v>1667</v>
      </c>
    </row>
    <row r="616" spans="2:11" x14ac:dyDescent="0.3">
      <c r="B616">
        <v>3</v>
      </c>
      <c r="C616" t="s">
        <v>487</v>
      </c>
      <c r="D616" t="s">
        <v>103</v>
      </c>
      <c r="E616" t="s">
        <v>46</v>
      </c>
      <c r="F616" s="6" t="s">
        <v>1699</v>
      </c>
      <c r="G616">
        <v>6000</v>
      </c>
      <c r="H616">
        <v>6000</v>
      </c>
      <c r="I616">
        <f t="shared" si="46"/>
        <v>0</v>
      </c>
      <c r="K616" t="s">
        <v>1700</v>
      </c>
    </row>
    <row r="617" spans="2:11" x14ac:dyDescent="0.3">
      <c r="B617">
        <v>4</v>
      </c>
      <c r="C617" s="4" t="s">
        <v>196</v>
      </c>
      <c r="D617" t="s">
        <v>197</v>
      </c>
      <c r="E617" t="s">
        <v>46</v>
      </c>
      <c r="F617" s="6" t="s">
        <v>1701</v>
      </c>
      <c r="G617">
        <v>6000</v>
      </c>
      <c r="H617">
        <v>6000</v>
      </c>
      <c r="I617">
        <f t="shared" si="46"/>
        <v>0</v>
      </c>
      <c r="K617" t="s">
        <v>1702</v>
      </c>
    </row>
    <row r="618" spans="2:11" ht="86.4" x14ac:dyDescent="0.3">
      <c r="B618">
        <v>5</v>
      </c>
      <c r="C618" t="s">
        <v>1403</v>
      </c>
      <c r="D618" t="s">
        <v>1086</v>
      </c>
      <c r="E618" t="s">
        <v>746</v>
      </c>
      <c r="F618" s="6" t="s">
        <v>1701</v>
      </c>
      <c r="G618">
        <v>12300</v>
      </c>
      <c r="H618">
        <v>12000</v>
      </c>
      <c r="I618">
        <f t="shared" si="46"/>
        <v>300</v>
      </c>
      <c r="K618" s="1" t="s">
        <v>1704</v>
      </c>
    </row>
    <row r="619" spans="2:11" x14ac:dyDescent="0.3">
      <c r="B619">
        <v>6</v>
      </c>
      <c r="C619" t="s">
        <v>1705</v>
      </c>
      <c r="D619" t="s">
        <v>123</v>
      </c>
      <c r="E619" t="s">
        <v>12</v>
      </c>
      <c r="F619" s="6" t="s">
        <v>1706</v>
      </c>
      <c r="G619">
        <f>60000+50000+25000+18000+15000+7200-21000</f>
        <v>154200</v>
      </c>
      <c r="H619">
        <f>22000+15000+5000+20000+20000+20000+20000+20000+12200</f>
        <v>154200</v>
      </c>
      <c r="I619">
        <f t="shared" si="46"/>
        <v>0</v>
      </c>
      <c r="K619" t="s">
        <v>2311</v>
      </c>
    </row>
    <row r="620" spans="2:11" x14ac:dyDescent="0.3">
      <c r="B620">
        <v>7</v>
      </c>
      <c r="C620" t="s">
        <v>1705</v>
      </c>
      <c r="D620" t="s">
        <v>123</v>
      </c>
      <c r="E620" t="s">
        <v>12</v>
      </c>
      <c r="F620" s="6" t="s">
        <v>1484</v>
      </c>
      <c r="G620">
        <f>7200+9000</f>
        <v>16200</v>
      </c>
      <c r="H620">
        <f>7800</f>
        <v>7800</v>
      </c>
      <c r="I620">
        <f>G620-H620</f>
        <v>8400</v>
      </c>
      <c r="K620" t="s">
        <v>1974</v>
      </c>
    </row>
    <row r="621" spans="2:11" x14ac:dyDescent="0.3">
      <c r="C621" t="s">
        <v>1705</v>
      </c>
      <c r="D621" t="s">
        <v>123</v>
      </c>
      <c r="E621" t="s">
        <v>12</v>
      </c>
      <c r="F621" s="6" t="s">
        <v>2309</v>
      </c>
      <c r="G621">
        <f>7200+9000</f>
        <v>16200</v>
      </c>
      <c r="H621">
        <v>0</v>
      </c>
      <c r="I621">
        <f>G621-H621</f>
        <v>16200</v>
      </c>
      <c r="K621" t="s">
        <v>2310</v>
      </c>
    </row>
    <row r="622" spans="2:11" x14ac:dyDescent="0.3">
      <c r="B622">
        <v>7</v>
      </c>
      <c r="C622" t="s">
        <v>1707</v>
      </c>
      <c r="D622" t="s">
        <v>1708</v>
      </c>
      <c r="E622" t="s">
        <v>51</v>
      </c>
      <c r="F622" s="6" t="s">
        <v>1709</v>
      </c>
      <c r="G622">
        <v>36000</v>
      </c>
      <c r="H622">
        <f>20000+16000</f>
        <v>36000</v>
      </c>
      <c r="I622">
        <f t="shared" si="46"/>
        <v>0</v>
      </c>
      <c r="K622" t="s">
        <v>1710</v>
      </c>
    </row>
    <row r="623" spans="2:11" x14ac:dyDescent="0.3">
      <c r="B623">
        <v>8</v>
      </c>
      <c r="C623" t="s">
        <v>1247</v>
      </c>
      <c r="D623" t="s">
        <v>1711</v>
      </c>
      <c r="E623" t="s">
        <v>12</v>
      </c>
      <c r="F623" s="6" t="s">
        <v>1712</v>
      </c>
      <c r="G623">
        <v>10500</v>
      </c>
      <c r="H623">
        <v>10500</v>
      </c>
      <c r="I623">
        <f t="shared" si="46"/>
        <v>0</v>
      </c>
      <c r="K623" t="s">
        <v>1713</v>
      </c>
    </row>
    <row r="624" spans="2:11" x14ac:dyDescent="0.3">
      <c r="B624">
        <v>9</v>
      </c>
      <c r="C624" t="s">
        <v>1211</v>
      </c>
      <c r="D624" t="s">
        <v>164</v>
      </c>
      <c r="E624" t="s">
        <v>51</v>
      </c>
      <c r="F624" s="6" t="s">
        <v>1720</v>
      </c>
      <c r="G624">
        <f>12000+14400</f>
        <v>26400</v>
      </c>
      <c r="H624">
        <v>26400</v>
      </c>
      <c r="I624">
        <f t="shared" ref="I624:I626" si="47">G624-H624</f>
        <v>0</v>
      </c>
      <c r="K624" t="s">
        <v>1725</v>
      </c>
    </row>
    <row r="625" spans="2:11" x14ac:dyDescent="0.3">
      <c r="B625">
        <v>10</v>
      </c>
      <c r="C625" t="s">
        <v>1721</v>
      </c>
      <c r="D625" t="s">
        <v>1722</v>
      </c>
      <c r="E625" t="s">
        <v>773</v>
      </c>
      <c r="F625" s="6" t="s">
        <v>1723</v>
      </c>
      <c r="G625">
        <v>12000</v>
      </c>
      <c r="H625">
        <v>12000</v>
      </c>
      <c r="I625">
        <f t="shared" si="47"/>
        <v>0</v>
      </c>
      <c r="K625" t="s">
        <v>1724</v>
      </c>
    </row>
    <row r="626" spans="2:11" x14ac:dyDescent="0.3">
      <c r="B626">
        <v>11</v>
      </c>
      <c r="C626" t="s">
        <v>1530</v>
      </c>
      <c r="D626" t="s">
        <v>1733</v>
      </c>
      <c r="E626" t="s">
        <v>12</v>
      </c>
      <c r="F626" s="6" t="s">
        <v>1732</v>
      </c>
      <c r="G626">
        <v>12000</v>
      </c>
      <c r="H626">
        <f>6000+6000</f>
        <v>12000</v>
      </c>
      <c r="I626">
        <f t="shared" si="47"/>
        <v>0</v>
      </c>
      <c r="K626" t="s">
        <v>1791</v>
      </c>
    </row>
    <row r="627" spans="2:11" x14ac:dyDescent="0.3">
      <c r="E627" s="120" t="s">
        <v>1727</v>
      </c>
      <c r="F627" s="121"/>
      <c r="G627" s="121"/>
      <c r="H627" s="49">
        <f>SUM(H614:H626)</f>
        <v>288900</v>
      </c>
    </row>
    <row r="629" spans="2:11" x14ac:dyDescent="0.3">
      <c r="B629">
        <v>1</v>
      </c>
      <c r="C629" t="s">
        <v>690</v>
      </c>
      <c r="D629" t="s">
        <v>1729</v>
      </c>
      <c r="E629" t="s">
        <v>12</v>
      </c>
      <c r="F629" s="6" t="s">
        <v>1730</v>
      </c>
      <c r="G629">
        <v>24000</v>
      </c>
      <c r="H629">
        <v>24000</v>
      </c>
      <c r="I629">
        <f t="shared" ref="I629:I660" si="48">G629-H629</f>
        <v>0</v>
      </c>
      <c r="K629" t="s">
        <v>1773</v>
      </c>
    </row>
    <row r="630" spans="2:11" x14ac:dyDescent="0.3">
      <c r="B630">
        <v>2</v>
      </c>
      <c r="C630" t="s">
        <v>622</v>
      </c>
      <c r="D630" t="s">
        <v>123</v>
      </c>
      <c r="E630" t="s">
        <v>12</v>
      </c>
      <c r="F630" s="6" t="s">
        <v>1731</v>
      </c>
      <c r="G630">
        <f>7200*2</f>
        <v>14400</v>
      </c>
      <c r="H630">
        <v>14400</v>
      </c>
      <c r="I630">
        <f t="shared" si="48"/>
        <v>0</v>
      </c>
      <c r="K630" t="s">
        <v>1803</v>
      </c>
    </row>
    <row r="631" spans="2:11" x14ac:dyDescent="0.3">
      <c r="B631">
        <v>3</v>
      </c>
      <c r="C631" t="s">
        <v>10</v>
      </c>
      <c r="D631" t="s">
        <v>926</v>
      </c>
      <c r="E631" t="s">
        <v>12</v>
      </c>
      <c r="F631" s="6" t="s">
        <v>1730</v>
      </c>
      <c r="G631">
        <f>45000-5000</f>
        <v>40000</v>
      </c>
      <c r="H631">
        <f>500+30000+9500</f>
        <v>40000</v>
      </c>
      <c r="I631">
        <f t="shared" si="48"/>
        <v>0</v>
      </c>
      <c r="K631" t="s">
        <v>1815</v>
      </c>
    </row>
    <row r="632" spans="2:11" x14ac:dyDescent="0.3">
      <c r="B632">
        <v>4</v>
      </c>
      <c r="C632" t="s">
        <v>1505</v>
      </c>
      <c r="D632" t="s">
        <v>1354</v>
      </c>
      <c r="E632" t="s">
        <v>245</v>
      </c>
      <c r="F632" s="6" t="s">
        <v>1734</v>
      </c>
      <c r="G632">
        <f>6000+7200</f>
        <v>13200</v>
      </c>
      <c r="H632">
        <v>13200</v>
      </c>
      <c r="I632">
        <f t="shared" si="48"/>
        <v>0</v>
      </c>
      <c r="K632" t="s">
        <v>1774</v>
      </c>
    </row>
    <row r="633" spans="2:11" x14ac:dyDescent="0.3">
      <c r="B633">
        <v>5</v>
      </c>
      <c r="C633" t="s">
        <v>1504</v>
      </c>
      <c r="D633" t="s">
        <v>1354</v>
      </c>
      <c r="E633" t="s">
        <v>245</v>
      </c>
      <c r="F633" s="6" t="s">
        <v>1734</v>
      </c>
      <c r="G633">
        <f>6000+7200</f>
        <v>13200</v>
      </c>
      <c r="H633">
        <v>13200</v>
      </c>
      <c r="I633">
        <f t="shared" si="48"/>
        <v>0</v>
      </c>
      <c r="K633" t="s">
        <v>1735</v>
      </c>
    </row>
    <row r="634" spans="2:11" x14ac:dyDescent="0.3">
      <c r="B634">
        <v>6</v>
      </c>
      <c r="C634" t="s">
        <v>80</v>
      </c>
      <c r="G634">
        <v>5000</v>
      </c>
      <c r="H634">
        <v>5000</v>
      </c>
      <c r="I634">
        <f t="shared" si="48"/>
        <v>0</v>
      </c>
      <c r="K634" t="s">
        <v>1736</v>
      </c>
    </row>
    <row r="635" spans="2:11" x14ac:dyDescent="0.3">
      <c r="B635">
        <v>7</v>
      </c>
      <c r="C635" t="s">
        <v>1737</v>
      </c>
      <c r="D635" t="s">
        <v>1738</v>
      </c>
      <c r="E635" t="s">
        <v>1739</v>
      </c>
      <c r="F635" s="6" t="s">
        <v>1740</v>
      </c>
      <c r="G635">
        <v>12000</v>
      </c>
      <c r="H635">
        <v>12000</v>
      </c>
      <c r="I635">
        <f t="shared" si="48"/>
        <v>0</v>
      </c>
      <c r="K635" t="s">
        <v>1741</v>
      </c>
    </row>
    <row r="636" spans="2:11" x14ac:dyDescent="0.3">
      <c r="B636">
        <v>8</v>
      </c>
      <c r="C636" t="s">
        <v>659</v>
      </c>
      <c r="D636" t="s">
        <v>92</v>
      </c>
      <c r="E636" t="s">
        <v>1775</v>
      </c>
      <c r="F636" s="6" t="s">
        <v>1776</v>
      </c>
      <c r="G636">
        <f>30000+4000+8500+9500-2000</f>
        <v>50000</v>
      </c>
      <c r="H636">
        <f>25000+25000</f>
        <v>50000</v>
      </c>
      <c r="I636">
        <f t="shared" si="48"/>
        <v>0</v>
      </c>
      <c r="K636" t="s">
        <v>1848</v>
      </c>
    </row>
    <row r="637" spans="2:11" x14ac:dyDescent="0.3">
      <c r="B637">
        <v>9</v>
      </c>
      <c r="C637" t="s">
        <v>1777</v>
      </c>
      <c r="D637" t="s">
        <v>654</v>
      </c>
      <c r="E637" t="s">
        <v>746</v>
      </c>
      <c r="F637" s="6" t="s">
        <v>1776</v>
      </c>
      <c r="G637">
        <f>65000+4000+4500</f>
        <v>73500</v>
      </c>
      <c r="H637">
        <f>20000+30000+23500</f>
        <v>73500</v>
      </c>
      <c r="I637">
        <f t="shared" si="48"/>
        <v>0</v>
      </c>
      <c r="K637" t="s">
        <v>1838</v>
      </c>
    </row>
    <row r="638" spans="2:11" x14ac:dyDescent="0.3">
      <c r="B638">
        <v>10</v>
      </c>
      <c r="C638" t="s">
        <v>1778</v>
      </c>
      <c r="D638" t="s">
        <v>1779</v>
      </c>
      <c r="E638" t="s">
        <v>51</v>
      </c>
      <c r="F638" s="6" t="s">
        <v>1780</v>
      </c>
      <c r="G638">
        <f>40000+15000+12000+16800-5500</f>
        <v>78300</v>
      </c>
      <c r="H638">
        <f>83800-5500</f>
        <v>78300</v>
      </c>
      <c r="I638">
        <f t="shared" si="48"/>
        <v>0</v>
      </c>
      <c r="K638" t="s">
        <v>1798</v>
      </c>
    </row>
    <row r="639" spans="2:11" x14ac:dyDescent="0.3">
      <c r="B639">
        <v>11</v>
      </c>
      <c r="C639" t="s">
        <v>1782</v>
      </c>
      <c r="D639" t="s">
        <v>1783</v>
      </c>
      <c r="E639" t="s">
        <v>51</v>
      </c>
      <c r="F639" s="6" t="s">
        <v>1784</v>
      </c>
      <c r="G639">
        <f>30000+6000-3000</f>
        <v>33000</v>
      </c>
      <c r="H639">
        <v>33000</v>
      </c>
      <c r="I639">
        <f t="shared" si="48"/>
        <v>0</v>
      </c>
      <c r="K639" t="s">
        <v>1785</v>
      </c>
    </row>
    <row r="640" spans="2:11" x14ac:dyDescent="0.3">
      <c r="B640">
        <v>12</v>
      </c>
      <c r="C640" t="s">
        <v>1786</v>
      </c>
      <c r="D640" t="s">
        <v>1787</v>
      </c>
      <c r="E640" t="s">
        <v>51</v>
      </c>
      <c r="F640" s="6" t="s">
        <v>1788</v>
      </c>
      <c r="G640">
        <f>35000+12000-5000</f>
        <v>42000</v>
      </c>
      <c r="H640">
        <f>35000+12000-5000</f>
        <v>42000</v>
      </c>
      <c r="I640">
        <f t="shared" si="48"/>
        <v>0</v>
      </c>
      <c r="K640" t="s">
        <v>1794</v>
      </c>
    </row>
    <row r="641" spans="2:11" x14ac:dyDescent="0.3">
      <c r="B641">
        <v>13</v>
      </c>
      <c r="C641" t="s">
        <v>1538</v>
      </c>
      <c r="D641" t="s">
        <v>1539</v>
      </c>
      <c r="E641" t="s">
        <v>143</v>
      </c>
      <c r="F641" s="6" t="s">
        <v>1789</v>
      </c>
      <c r="G641">
        <v>90000</v>
      </c>
      <c r="H641">
        <v>70000</v>
      </c>
      <c r="I641">
        <f t="shared" si="48"/>
        <v>20000</v>
      </c>
      <c r="K641" t="s">
        <v>1790</v>
      </c>
    </row>
    <row r="642" spans="2:11" x14ac:dyDescent="0.3">
      <c r="B642">
        <v>14</v>
      </c>
      <c r="C642" t="s">
        <v>1538</v>
      </c>
      <c r="D642" t="s">
        <v>1539</v>
      </c>
      <c r="E642" t="s">
        <v>143</v>
      </c>
      <c r="F642" s="6" t="s">
        <v>1840</v>
      </c>
      <c r="G642">
        <v>12000</v>
      </c>
      <c r="H642">
        <v>12000</v>
      </c>
      <c r="I642">
        <f t="shared" si="48"/>
        <v>0</v>
      </c>
      <c r="K642" t="s">
        <v>1843</v>
      </c>
    </row>
    <row r="643" spans="2:11" x14ac:dyDescent="0.3">
      <c r="B643">
        <v>15</v>
      </c>
    </row>
    <row r="644" spans="2:11" x14ac:dyDescent="0.3">
      <c r="B644">
        <v>16</v>
      </c>
      <c r="C644" t="s">
        <v>1782</v>
      </c>
      <c r="D644" t="s">
        <v>1783</v>
      </c>
      <c r="E644" t="s">
        <v>51</v>
      </c>
      <c r="F644" s="6" t="s">
        <v>1795</v>
      </c>
      <c r="G644">
        <v>14400</v>
      </c>
      <c r="H644">
        <v>14400</v>
      </c>
      <c r="I644">
        <f t="shared" si="48"/>
        <v>0</v>
      </c>
      <c r="K644" t="s">
        <v>1796</v>
      </c>
    </row>
    <row r="645" spans="2:11" x14ac:dyDescent="0.3">
      <c r="B645">
        <v>17</v>
      </c>
      <c r="C645" t="s">
        <v>1782</v>
      </c>
      <c r="D645" t="s">
        <v>1783</v>
      </c>
      <c r="E645" t="s">
        <v>51</v>
      </c>
      <c r="F645" s="6" t="s">
        <v>1795</v>
      </c>
      <c r="G645">
        <v>20000</v>
      </c>
      <c r="I645">
        <f t="shared" si="48"/>
        <v>20000</v>
      </c>
      <c r="K645" t="s">
        <v>1808</v>
      </c>
    </row>
    <row r="646" spans="2:11" x14ac:dyDescent="0.3">
      <c r="B646">
        <v>18</v>
      </c>
      <c r="C646" t="s">
        <v>761</v>
      </c>
      <c r="D646" t="s">
        <v>1800</v>
      </c>
      <c r="E646" t="s">
        <v>762</v>
      </c>
      <c r="F646" s="6" t="s">
        <v>1795</v>
      </c>
      <c r="G646">
        <v>45000</v>
      </c>
      <c r="H646">
        <v>45000</v>
      </c>
      <c r="I646">
        <f t="shared" si="48"/>
        <v>0</v>
      </c>
      <c r="K646" t="s">
        <v>1816</v>
      </c>
    </row>
    <row r="647" spans="2:11" x14ac:dyDescent="0.3">
      <c r="B647">
        <v>19</v>
      </c>
      <c r="C647" t="s">
        <v>1801</v>
      </c>
      <c r="D647" t="s">
        <v>1802</v>
      </c>
      <c r="E647" t="s">
        <v>12</v>
      </c>
      <c r="F647" s="6" t="s">
        <v>1795</v>
      </c>
      <c r="G647">
        <f>150000+40000+31000</f>
        <v>221000</v>
      </c>
      <c r="H647">
        <f>136000+85000</f>
        <v>221000</v>
      </c>
      <c r="I647">
        <f t="shared" si="48"/>
        <v>0</v>
      </c>
      <c r="K647" t="s">
        <v>1835</v>
      </c>
    </row>
    <row r="648" spans="2:11" x14ac:dyDescent="0.3">
      <c r="E648" s="120" t="s">
        <v>1804</v>
      </c>
      <c r="F648" s="121"/>
      <c r="G648" s="121"/>
      <c r="H648" s="49">
        <f>SUM(H629:H647)</f>
        <v>761000</v>
      </c>
    </row>
    <row r="649" spans="2:11" x14ac:dyDescent="0.3">
      <c r="E649" s="88"/>
      <c r="F649" s="89"/>
      <c r="G649" s="89"/>
      <c r="H649" s="90"/>
    </row>
    <row r="650" spans="2:11" x14ac:dyDescent="0.3">
      <c r="B650">
        <v>1</v>
      </c>
      <c r="C650" t="s">
        <v>1218</v>
      </c>
      <c r="D650" t="s">
        <v>1217</v>
      </c>
      <c r="E650" t="s">
        <v>432</v>
      </c>
      <c r="F650" s="47" t="s">
        <v>1805</v>
      </c>
      <c r="G650">
        <v>12000</v>
      </c>
      <c r="H650">
        <v>12000</v>
      </c>
      <c r="I650">
        <f t="shared" si="48"/>
        <v>0</v>
      </c>
      <c r="K650" t="s">
        <v>1806</v>
      </c>
    </row>
    <row r="651" spans="2:11" x14ac:dyDescent="0.3">
      <c r="B651">
        <v>2</v>
      </c>
      <c r="C651" t="s">
        <v>1515</v>
      </c>
      <c r="D651" t="s">
        <v>654</v>
      </c>
      <c r="E651" t="s">
        <v>746</v>
      </c>
      <c r="F651" s="47" t="s">
        <v>1805</v>
      </c>
      <c r="G651">
        <f>49500+4500</f>
        <v>54000</v>
      </c>
      <c r="H651">
        <f>20000+15000+15000+4000</f>
        <v>54000</v>
      </c>
      <c r="I651">
        <f t="shared" si="48"/>
        <v>0</v>
      </c>
      <c r="K651" t="s">
        <v>1811</v>
      </c>
    </row>
    <row r="652" spans="2:11" x14ac:dyDescent="0.3">
      <c r="B652">
        <v>3</v>
      </c>
      <c r="C652" t="s">
        <v>1807</v>
      </c>
      <c r="D652" t="s">
        <v>1086</v>
      </c>
      <c r="E652" t="s">
        <v>746</v>
      </c>
      <c r="F652" s="47" t="s">
        <v>2184</v>
      </c>
      <c r="G652">
        <v>9000</v>
      </c>
      <c r="H652">
        <v>9000</v>
      </c>
      <c r="I652">
        <f t="shared" si="48"/>
        <v>0</v>
      </c>
      <c r="K652" t="s">
        <v>1849</v>
      </c>
    </row>
    <row r="653" spans="2:11" x14ac:dyDescent="0.3">
      <c r="B653">
        <v>4</v>
      </c>
      <c r="C653" t="s">
        <v>1231</v>
      </c>
      <c r="D653" t="s">
        <v>1232</v>
      </c>
      <c r="E653" t="s">
        <v>12</v>
      </c>
      <c r="F653" s="47" t="s">
        <v>1810</v>
      </c>
      <c r="G653">
        <v>12000</v>
      </c>
      <c r="H653">
        <v>12000</v>
      </c>
      <c r="I653">
        <f t="shared" si="48"/>
        <v>0</v>
      </c>
      <c r="K653" t="s">
        <v>1809</v>
      </c>
    </row>
    <row r="654" spans="2:11" x14ac:dyDescent="0.3">
      <c r="B654">
        <v>5</v>
      </c>
    </row>
    <row r="655" spans="2:11" x14ac:dyDescent="0.3">
      <c r="B655">
        <v>6</v>
      </c>
      <c r="C655" t="s">
        <v>1817</v>
      </c>
      <c r="D655" t="s">
        <v>340</v>
      </c>
      <c r="E655" t="s">
        <v>888</v>
      </c>
      <c r="F655" s="47" t="s">
        <v>1818</v>
      </c>
      <c r="G655">
        <f>21600+36000</f>
        <v>57600</v>
      </c>
      <c r="H655">
        <f>7200+14400+36000</f>
        <v>57600</v>
      </c>
      <c r="I655">
        <f t="shared" si="48"/>
        <v>0</v>
      </c>
      <c r="K655" t="s">
        <v>1830</v>
      </c>
    </row>
    <row r="656" spans="2:11" x14ac:dyDescent="0.3">
      <c r="B656">
        <v>7</v>
      </c>
      <c r="C656" t="s">
        <v>1822</v>
      </c>
      <c r="D656" t="s">
        <v>94</v>
      </c>
      <c r="E656" t="s">
        <v>432</v>
      </c>
      <c r="F656" s="47" t="s">
        <v>1821</v>
      </c>
      <c r="G656">
        <f>40000+12000</f>
        <v>52000</v>
      </c>
      <c r="H656">
        <f>10000+30000</f>
        <v>40000</v>
      </c>
      <c r="I656">
        <f t="shared" si="48"/>
        <v>12000</v>
      </c>
      <c r="K656" t="s">
        <v>2173</v>
      </c>
    </row>
    <row r="657" spans="2:11" x14ac:dyDescent="0.3">
      <c r="B657">
        <v>8</v>
      </c>
      <c r="C657" t="s">
        <v>2007</v>
      </c>
      <c r="D657" t="s">
        <v>94</v>
      </c>
      <c r="E657" t="s">
        <v>432</v>
      </c>
      <c r="F657" s="47" t="s">
        <v>1821</v>
      </c>
      <c r="G657">
        <f>25000+12000</f>
        <v>37000</v>
      </c>
      <c r="H657">
        <f>5000+20000</f>
        <v>25000</v>
      </c>
      <c r="I657">
        <f t="shared" si="48"/>
        <v>12000</v>
      </c>
      <c r="K657" t="s">
        <v>2008</v>
      </c>
    </row>
    <row r="658" spans="2:11" x14ac:dyDescent="0.3">
      <c r="B658">
        <v>9</v>
      </c>
      <c r="C658" t="s">
        <v>1270</v>
      </c>
      <c r="D658" t="s">
        <v>1272</v>
      </c>
      <c r="E658" t="s">
        <v>1271</v>
      </c>
      <c r="F658" s="6" t="s">
        <v>1703</v>
      </c>
      <c r="G658">
        <v>3300</v>
      </c>
      <c r="H658">
        <v>3300</v>
      </c>
      <c r="I658">
        <f t="shared" si="48"/>
        <v>0</v>
      </c>
      <c r="K658" t="s">
        <v>1828</v>
      </c>
    </row>
    <row r="659" spans="2:11" x14ac:dyDescent="0.3">
      <c r="B659">
        <v>10</v>
      </c>
      <c r="C659" t="s">
        <v>1786</v>
      </c>
      <c r="D659" t="s">
        <v>1823</v>
      </c>
      <c r="E659" t="s">
        <v>1824</v>
      </c>
      <c r="F659" s="6" t="s">
        <v>1703</v>
      </c>
      <c r="G659">
        <f>15000+10000</f>
        <v>25000</v>
      </c>
      <c r="H659">
        <v>25000</v>
      </c>
      <c r="I659">
        <f t="shared" si="48"/>
        <v>0</v>
      </c>
      <c r="K659" t="s">
        <v>1825</v>
      </c>
    </row>
    <row r="660" spans="2:11" x14ac:dyDescent="0.3">
      <c r="B660">
        <v>11</v>
      </c>
      <c r="C660" t="s">
        <v>1826</v>
      </c>
      <c r="E660" t="s">
        <v>1827</v>
      </c>
      <c r="F660" s="6" t="s">
        <v>1703</v>
      </c>
      <c r="G660">
        <v>6000</v>
      </c>
      <c r="H660">
        <v>6000</v>
      </c>
      <c r="I660">
        <f t="shared" si="48"/>
        <v>0</v>
      </c>
      <c r="K660" t="s">
        <v>1829</v>
      </c>
    </row>
    <row r="661" spans="2:11" x14ac:dyDescent="0.3">
      <c r="E661" s="120" t="s">
        <v>1831</v>
      </c>
      <c r="F661" s="121"/>
      <c r="G661" s="121"/>
      <c r="H661" s="49">
        <f>SUM(H650:H660)</f>
        <v>243900</v>
      </c>
    </row>
    <row r="663" spans="2:11" x14ac:dyDescent="0.3">
      <c r="B663">
        <v>1</v>
      </c>
      <c r="C663" t="s">
        <v>1283</v>
      </c>
      <c r="D663" t="s">
        <v>1284</v>
      </c>
      <c r="E663" t="s">
        <v>12</v>
      </c>
      <c r="F663" s="6" t="s">
        <v>1832</v>
      </c>
      <c r="G663">
        <v>18000</v>
      </c>
      <c r="H663">
        <v>18000</v>
      </c>
      <c r="I663">
        <f t="shared" ref="I663:I696" si="49">G663-H663</f>
        <v>0</v>
      </c>
      <c r="K663" t="s">
        <v>1945</v>
      </c>
    </row>
    <row r="664" spans="2:11" x14ac:dyDescent="0.3">
      <c r="B664">
        <v>2</v>
      </c>
      <c r="C664" t="s">
        <v>17</v>
      </c>
      <c r="D664" t="s">
        <v>26</v>
      </c>
      <c r="E664" t="s">
        <v>1078</v>
      </c>
      <c r="F664" s="6" t="s">
        <v>1832</v>
      </c>
      <c r="G664">
        <v>12000</v>
      </c>
      <c r="H664">
        <v>12000</v>
      </c>
      <c r="I664">
        <f t="shared" si="49"/>
        <v>0</v>
      </c>
      <c r="K664" t="s">
        <v>2159</v>
      </c>
    </row>
    <row r="665" spans="2:11" x14ac:dyDescent="0.3">
      <c r="B665">
        <v>3</v>
      </c>
      <c r="C665" t="s">
        <v>736</v>
      </c>
      <c r="D665" t="s">
        <v>591</v>
      </c>
      <c r="E665" t="s">
        <v>12</v>
      </c>
      <c r="F665" s="6" t="s">
        <v>1832</v>
      </c>
      <c r="G665">
        <v>12000</v>
      </c>
      <c r="H665">
        <f>5000+10000</f>
        <v>15000</v>
      </c>
      <c r="I665">
        <f t="shared" si="49"/>
        <v>-3000</v>
      </c>
      <c r="K665" t="s">
        <v>1876</v>
      </c>
    </row>
    <row r="666" spans="2:11" x14ac:dyDescent="0.3">
      <c r="B666">
        <v>4</v>
      </c>
      <c r="C666" t="s">
        <v>1833</v>
      </c>
      <c r="D666" t="s">
        <v>789</v>
      </c>
      <c r="E666" t="s">
        <v>12</v>
      </c>
      <c r="F666" s="6" t="s">
        <v>1832</v>
      </c>
      <c r="G666">
        <v>6000</v>
      </c>
      <c r="H666">
        <v>6000</v>
      </c>
      <c r="I666">
        <f t="shared" si="49"/>
        <v>0</v>
      </c>
      <c r="K666" t="s">
        <v>1834</v>
      </c>
    </row>
    <row r="667" spans="2:11" x14ac:dyDescent="0.3">
      <c r="B667">
        <v>5</v>
      </c>
      <c r="C667" t="s">
        <v>217</v>
      </c>
      <c r="D667" t="s">
        <v>18</v>
      </c>
      <c r="E667" t="s">
        <v>12</v>
      </c>
      <c r="F667" s="6" t="s">
        <v>1837</v>
      </c>
      <c r="G667">
        <v>15000</v>
      </c>
      <c r="H667">
        <v>15000</v>
      </c>
      <c r="I667">
        <f t="shared" si="49"/>
        <v>0</v>
      </c>
      <c r="K667" t="s">
        <v>1857</v>
      </c>
    </row>
    <row r="668" spans="2:11" x14ac:dyDescent="0.3">
      <c r="B668">
        <v>6</v>
      </c>
      <c r="C668" t="s">
        <v>1627</v>
      </c>
      <c r="D668" t="s">
        <v>126</v>
      </c>
      <c r="E668" t="s">
        <v>39</v>
      </c>
      <c r="F668" s="6" t="s">
        <v>1839</v>
      </c>
      <c r="G668">
        <f>40000+18000-13500</f>
        <v>44500</v>
      </c>
      <c r="H668">
        <f>14500+30000</f>
        <v>44500</v>
      </c>
      <c r="I668">
        <f t="shared" si="49"/>
        <v>0</v>
      </c>
      <c r="K668" t="s">
        <v>2009</v>
      </c>
    </row>
    <row r="669" spans="2:11" x14ac:dyDescent="0.3">
      <c r="B669">
        <v>7</v>
      </c>
      <c r="C669" t="s">
        <v>1817</v>
      </c>
      <c r="D669" t="s">
        <v>340</v>
      </c>
      <c r="E669" t="s">
        <v>888</v>
      </c>
      <c r="F669" s="47" t="s">
        <v>1818</v>
      </c>
      <c r="G669">
        <f>57000*8</f>
        <v>456000</v>
      </c>
      <c r="H669">
        <f>57000+57000+57000+57000+50000+7000+57000+50000+15000+30000+25000</f>
        <v>462000</v>
      </c>
      <c r="I669">
        <f t="shared" si="49"/>
        <v>-6000</v>
      </c>
      <c r="K669" t="s">
        <v>2297</v>
      </c>
    </row>
    <row r="670" spans="2:11" x14ac:dyDescent="0.3">
      <c r="B670">
        <v>8</v>
      </c>
      <c r="C670" t="s">
        <v>730</v>
      </c>
      <c r="D670" t="s">
        <v>730</v>
      </c>
      <c r="E670" t="s">
        <v>1209</v>
      </c>
      <c r="F670" s="6" t="s">
        <v>1841</v>
      </c>
      <c r="G670" s="44">
        <v>157237</v>
      </c>
      <c r="H670">
        <v>157237</v>
      </c>
      <c r="I670">
        <f t="shared" si="49"/>
        <v>0</v>
      </c>
      <c r="K670" t="s">
        <v>1842</v>
      </c>
    </row>
    <row r="671" spans="2:11" x14ac:dyDescent="0.3">
      <c r="B671">
        <v>9</v>
      </c>
      <c r="C671" t="s">
        <v>9</v>
      </c>
      <c r="D671" t="s">
        <v>14</v>
      </c>
      <c r="E671" t="s">
        <v>12</v>
      </c>
      <c r="F671" s="6" t="s">
        <v>1846</v>
      </c>
      <c r="G671">
        <v>50000</v>
      </c>
      <c r="H671">
        <v>25000</v>
      </c>
      <c r="I671">
        <f t="shared" si="49"/>
        <v>25000</v>
      </c>
      <c r="K671" t="s">
        <v>1847</v>
      </c>
    </row>
    <row r="672" spans="2:11" x14ac:dyDescent="0.3">
      <c r="B672">
        <v>10</v>
      </c>
      <c r="C672" t="s">
        <v>220</v>
      </c>
      <c r="D672" t="s">
        <v>811</v>
      </c>
      <c r="E672" t="s">
        <v>51</v>
      </c>
      <c r="F672" s="6" t="s">
        <v>1832</v>
      </c>
      <c r="G672">
        <v>12000</v>
      </c>
      <c r="H672">
        <v>12000</v>
      </c>
      <c r="I672">
        <f t="shared" si="49"/>
        <v>0</v>
      </c>
      <c r="K672" t="s">
        <v>1852</v>
      </c>
    </row>
    <row r="673" spans="1:11" x14ac:dyDescent="0.3">
      <c r="B673">
        <v>11</v>
      </c>
      <c r="C673" t="s">
        <v>1850</v>
      </c>
      <c r="D673" t="s">
        <v>1086</v>
      </c>
      <c r="E673" t="s">
        <v>746</v>
      </c>
      <c r="F673" s="6" t="s">
        <v>1832</v>
      </c>
      <c r="G673">
        <v>9000</v>
      </c>
      <c r="H673">
        <v>9000</v>
      </c>
      <c r="I673">
        <f t="shared" si="49"/>
        <v>0</v>
      </c>
      <c r="K673" t="s">
        <v>1851</v>
      </c>
    </row>
    <row r="674" spans="1:11" x14ac:dyDescent="0.3">
      <c r="A674" t="s">
        <v>2263</v>
      </c>
      <c r="C674" t="s">
        <v>2120</v>
      </c>
      <c r="D674" t="s">
        <v>1571</v>
      </c>
      <c r="E674" t="s">
        <v>12</v>
      </c>
      <c r="F674" s="6" t="s">
        <v>1853</v>
      </c>
      <c r="G674">
        <f>50000+12000</f>
        <v>62000</v>
      </c>
      <c r="H674">
        <v>62000</v>
      </c>
      <c r="I674">
        <f t="shared" si="49"/>
        <v>0</v>
      </c>
      <c r="K674" t="s">
        <v>1854</v>
      </c>
    </row>
    <row r="675" spans="1:11" x14ac:dyDescent="0.3">
      <c r="C675" t="s">
        <v>2164</v>
      </c>
      <c r="D675" t="s">
        <v>1647</v>
      </c>
      <c r="E675" t="s">
        <v>12</v>
      </c>
      <c r="F675" s="6" t="s">
        <v>2165</v>
      </c>
      <c r="G675">
        <f>198000+24000</f>
        <v>222000</v>
      </c>
      <c r="H675">
        <f>50000+50000+122000</f>
        <v>222000</v>
      </c>
      <c r="I675">
        <f>G675-H675</f>
        <v>0</v>
      </c>
      <c r="K675" t="s">
        <v>2396</v>
      </c>
    </row>
    <row r="676" spans="1:11" x14ac:dyDescent="0.3">
      <c r="C676" t="s">
        <v>2214</v>
      </c>
      <c r="D676" t="s">
        <v>1571</v>
      </c>
      <c r="E676" t="s">
        <v>12</v>
      </c>
      <c r="F676" s="6" t="s">
        <v>2212</v>
      </c>
      <c r="G676">
        <f>50000+9000+10800</f>
        <v>69800</v>
      </c>
      <c r="H676">
        <v>69800</v>
      </c>
      <c r="I676">
        <f t="shared" si="49"/>
        <v>0</v>
      </c>
      <c r="K676" t="s">
        <v>2220</v>
      </c>
    </row>
    <row r="677" spans="1:11" x14ac:dyDescent="0.3">
      <c r="C677" t="s">
        <v>2225</v>
      </c>
      <c r="D677" t="s">
        <v>1571</v>
      </c>
      <c r="E677" t="s">
        <v>12</v>
      </c>
      <c r="F677" s="6" t="s">
        <v>2212</v>
      </c>
      <c r="G677">
        <f>50000+9000+10800</f>
        <v>69800</v>
      </c>
      <c r="H677">
        <f>50000+10800+9000</f>
        <v>69800</v>
      </c>
      <c r="I677">
        <f t="shared" si="49"/>
        <v>0</v>
      </c>
      <c r="K677" t="s">
        <v>2230</v>
      </c>
    </row>
    <row r="678" spans="1:11" x14ac:dyDescent="0.3">
      <c r="C678" t="s">
        <v>2226</v>
      </c>
      <c r="D678" t="s">
        <v>1571</v>
      </c>
      <c r="E678" t="s">
        <v>12</v>
      </c>
      <c r="F678" s="6" t="s">
        <v>2212</v>
      </c>
      <c r="G678">
        <f>50000+9000+10800</f>
        <v>69800</v>
      </c>
      <c r="H678">
        <f>10800+9000+50000</f>
        <v>69800</v>
      </c>
      <c r="I678">
        <f t="shared" si="49"/>
        <v>0</v>
      </c>
      <c r="K678" t="s">
        <v>2265</v>
      </c>
    </row>
    <row r="679" spans="1:11" x14ac:dyDescent="0.3">
      <c r="C679" t="s">
        <v>1333</v>
      </c>
      <c r="D679" t="s">
        <v>1571</v>
      </c>
      <c r="E679" t="s">
        <v>12</v>
      </c>
      <c r="F679" s="6" t="s">
        <v>2135</v>
      </c>
      <c r="G679">
        <f>1200*2*11</f>
        <v>26400</v>
      </c>
      <c r="H679">
        <v>26400</v>
      </c>
      <c r="I679">
        <f t="shared" si="49"/>
        <v>0</v>
      </c>
      <c r="K679" t="s">
        <v>2264</v>
      </c>
    </row>
    <row r="680" spans="1:11" x14ac:dyDescent="0.3">
      <c r="C680" t="s">
        <v>2315</v>
      </c>
      <c r="D680" t="s">
        <v>1571</v>
      </c>
      <c r="E680" t="s">
        <v>12</v>
      </c>
      <c r="F680" s="6" t="s">
        <v>2316</v>
      </c>
      <c r="G680">
        <f>(6*1200)+(1000*6)+50000+6*2*1200</f>
        <v>77600</v>
      </c>
      <c r="H680">
        <v>77600</v>
      </c>
      <c r="I680">
        <f t="shared" si="49"/>
        <v>0</v>
      </c>
      <c r="K680" t="s">
        <v>2317</v>
      </c>
    </row>
    <row r="681" spans="1:11" x14ac:dyDescent="0.3">
      <c r="C681" t="s">
        <v>2335</v>
      </c>
      <c r="D681" t="s">
        <v>1571</v>
      </c>
      <c r="E681" t="s">
        <v>12</v>
      </c>
      <c r="F681" s="6" t="s">
        <v>2336</v>
      </c>
      <c r="G681">
        <f>50000+6000</f>
        <v>56000</v>
      </c>
      <c r="H681">
        <v>56000</v>
      </c>
      <c r="I681">
        <f t="shared" si="49"/>
        <v>0</v>
      </c>
      <c r="K681" t="s">
        <v>2337</v>
      </c>
    </row>
    <row r="682" spans="1:11" x14ac:dyDescent="0.3">
      <c r="C682" t="s">
        <v>2338</v>
      </c>
      <c r="D682" t="s">
        <v>1571</v>
      </c>
      <c r="E682" t="s">
        <v>12</v>
      </c>
      <c r="F682" s="6" t="s">
        <v>2339</v>
      </c>
      <c r="G682">
        <f>50000+6000</f>
        <v>56000</v>
      </c>
      <c r="H682">
        <v>56000</v>
      </c>
      <c r="I682">
        <f t="shared" si="49"/>
        <v>0</v>
      </c>
      <c r="K682" t="s">
        <v>2350</v>
      </c>
    </row>
    <row r="683" spans="1:11" x14ac:dyDescent="0.3">
      <c r="C683" t="s">
        <v>2373</v>
      </c>
      <c r="D683" t="s">
        <v>1571</v>
      </c>
      <c r="E683" t="s">
        <v>12</v>
      </c>
      <c r="F683" s="6" t="s">
        <v>2374</v>
      </c>
      <c r="G683">
        <f>50000+5000+6000-2700</f>
        <v>58300</v>
      </c>
      <c r="H683">
        <v>58300</v>
      </c>
      <c r="I683">
        <f t="shared" si="49"/>
        <v>0</v>
      </c>
      <c r="K683" t="s">
        <v>2376</v>
      </c>
    </row>
    <row r="684" spans="1:11" x14ac:dyDescent="0.3">
      <c r="C684" t="s">
        <v>2375</v>
      </c>
      <c r="D684" t="s">
        <v>1571</v>
      </c>
      <c r="E684" t="s">
        <v>12</v>
      </c>
      <c r="F684" s="6" t="s">
        <v>2374</v>
      </c>
      <c r="G684">
        <f>50000+5000+6000-2700</f>
        <v>58300</v>
      </c>
      <c r="H684">
        <v>58300</v>
      </c>
      <c r="I684">
        <f t="shared" si="49"/>
        <v>0</v>
      </c>
    </row>
    <row r="685" spans="1:11" x14ac:dyDescent="0.3">
      <c r="C685" t="s">
        <v>2422</v>
      </c>
      <c r="D685" t="s">
        <v>1571</v>
      </c>
      <c r="E685" t="s">
        <v>12</v>
      </c>
      <c r="F685" s="6" t="s">
        <v>2384</v>
      </c>
      <c r="G685">
        <f>140000-20000</f>
        <v>120000</v>
      </c>
      <c r="H685">
        <f>60000+60000</f>
        <v>120000</v>
      </c>
      <c r="I685">
        <f t="shared" si="49"/>
        <v>0</v>
      </c>
      <c r="K685" t="s">
        <v>2464</v>
      </c>
    </row>
    <row r="686" spans="1:11" x14ac:dyDescent="0.3">
      <c r="C686" t="s">
        <v>2423</v>
      </c>
      <c r="D686" t="s">
        <v>1571</v>
      </c>
      <c r="E686" t="s">
        <v>12</v>
      </c>
      <c r="F686" s="6" t="s">
        <v>2424</v>
      </c>
      <c r="G686">
        <f>50000-5000</f>
        <v>45000</v>
      </c>
      <c r="H686">
        <v>45000</v>
      </c>
      <c r="I686">
        <f t="shared" si="49"/>
        <v>0</v>
      </c>
      <c r="K686" t="s">
        <v>2429</v>
      </c>
    </row>
    <row r="687" spans="1:11" x14ac:dyDescent="0.3">
      <c r="C687" t="s">
        <v>2461</v>
      </c>
      <c r="D687" t="s">
        <v>1571</v>
      </c>
      <c r="E687" t="s">
        <v>12</v>
      </c>
      <c r="F687" s="6" t="s">
        <v>2462</v>
      </c>
      <c r="G687">
        <f>70000-10000</f>
        <v>60000</v>
      </c>
      <c r="H687">
        <v>60000</v>
      </c>
      <c r="I687">
        <f t="shared" si="49"/>
        <v>0</v>
      </c>
      <c r="K687" t="s">
        <v>2465</v>
      </c>
    </row>
    <row r="688" spans="1:11" x14ac:dyDescent="0.3">
      <c r="C688" t="s">
        <v>2466</v>
      </c>
      <c r="D688" t="s">
        <v>1571</v>
      </c>
      <c r="E688" t="s">
        <v>12</v>
      </c>
      <c r="F688" s="6" t="s">
        <v>2467</v>
      </c>
      <c r="G688">
        <f>70000-10000</f>
        <v>60000</v>
      </c>
      <c r="H688">
        <v>60000</v>
      </c>
      <c r="I688">
        <f t="shared" si="49"/>
        <v>0</v>
      </c>
      <c r="K688" t="s">
        <v>2476</v>
      </c>
    </row>
    <row r="689" spans="2:11" x14ac:dyDescent="0.3">
      <c r="C689" t="s">
        <v>2477</v>
      </c>
      <c r="D689" t="s">
        <v>1571</v>
      </c>
      <c r="E689" t="s">
        <v>12</v>
      </c>
      <c r="F689" s="6"/>
      <c r="G689">
        <v>26000</v>
      </c>
      <c r="H689">
        <v>26000</v>
      </c>
      <c r="I689">
        <f t="shared" si="49"/>
        <v>0</v>
      </c>
      <c r="K689" t="s">
        <v>2478</v>
      </c>
    </row>
    <row r="690" spans="2:11" x14ac:dyDescent="0.3">
      <c r="C690" t="s">
        <v>2509</v>
      </c>
      <c r="D690" t="s">
        <v>1571</v>
      </c>
      <c r="E690" t="s">
        <v>12</v>
      </c>
      <c r="F690" s="6" t="s">
        <v>2499</v>
      </c>
      <c r="G690">
        <f>60000+60000</f>
        <v>120000</v>
      </c>
      <c r="H690">
        <v>120000</v>
      </c>
      <c r="I690">
        <f t="shared" si="49"/>
        <v>0</v>
      </c>
      <c r="K690" t="s">
        <v>2517</v>
      </c>
    </row>
    <row r="691" spans="2:11" x14ac:dyDescent="0.3">
      <c r="C691" t="s">
        <v>2515</v>
      </c>
      <c r="D691" t="s">
        <v>1571</v>
      </c>
      <c r="E691" t="s">
        <v>12</v>
      </c>
      <c r="F691" s="6" t="s">
        <v>2516</v>
      </c>
      <c r="G691">
        <f>60000+60000+7500</f>
        <v>127500</v>
      </c>
      <c r="H691">
        <v>127500</v>
      </c>
      <c r="I691">
        <f t="shared" si="49"/>
        <v>0</v>
      </c>
      <c r="K691" t="s">
        <v>2519</v>
      </c>
    </row>
    <row r="692" spans="2:11" x14ac:dyDescent="0.3">
      <c r="C692" t="s">
        <v>2526</v>
      </c>
      <c r="D692" t="s">
        <v>1571</v>
      </c>
      <c r="E692" t="s">
        <v>12</v>
      </c>
      <c r="F692" s="6" t="s">
        <v>2524</v>
      </c>
      <c r="G692">
        <f>60000</f>
        <v>60000</v>
      </c>
      <c r="H692">
        <f>60000</f>
        <v>60000</v>
      </c>
      <c r="I692">
        <f t="shared" si="49"/>
        <v>0</v>
      </c>
      <c r="K692" t="s">
        <v>2535</v>
      </c>
    </row>
    <row r="693" spans="2:11" x14ac:dyDescent="0.3">
      <c r="C693" t="s">
        <v>2546</v>
      </c>
      <c r="D693" t="s">
        <v>1571</v>
      </c>
      <c r="E693" t="s">
        <v>12</v>
      </c>
      <c r="F693" s="6" t="s">
        <v>2547</v>
      </c>
      <c r="G693">
        <f>130000+45000</f>
        <v>175000</v>
      </c>
      <c r="H693">
        <v>175000</v>
      </c>
      <c r="I693">
        <f t="shared" si="49"/>
        <v>0</v>
      </c>
      <c r="K693" t="s">
        <v>2548</v>
      </c>
    </row>
    <row r="694" spans="2:11" x14ac:dyDescent="0.3">
      <c r="C694" t="s">
        <v>2557</v>
      </c>
      <c r="D694" t="s">
        <v>1571</v>
      </c>
      <c r="E694" t="s">
        <v>12</v>
      </c>
      <c r="F694" s="6" t="s">
        <v>2558</v>
      </c>
      <c r="G694">
        <f>24000+108000+144000</f>
        <v>276000</v>
      </c>
      <c r="H694">
        <v>276000</v>
      </c>
      <c r="I694">
        <f t="shared" si="49"/>
        <v>0</v>
      </c>
      <c r="K694" t="s">
        <v>2572</v>
      </c>
    </row>
    <row r="695" spans="2:11" x14ac:dyDescent="0.3">
      <c r="C695" t="s">
        <v>2691</v>
      </c>
      <c r="D695" t="s">
        <v>1571</v>
      </c>
      <c r="E695" t="s">
        <v>12</v>
      </c>
      <c r="F695" s="6" t="s">
        <v>2689</v>
      </c>
      <c r="G695">
        <f>65000-15000</f>
        <v>50000</v>
      </c>
      <c r="H695">
        <v>50000</v>
      </c>
      <c r="I695">
        <f t="shared" si="49"/>
        <v>0</v>
      </c>
      <c r="K695" t="s">
        <v>2692</v>
      </c>
    </row>
    <row r="696" spans="2:11" x14ac:dyDescent="0.3">
      <c r="B696">
        <v>15</v>
      </c>
      <c r="C696" t="s">
        <v>394</v>
      </c>
      <c r="D696" t="s">
        <v>1855</v>
      </c>
      <c r="E696" t="s">
        <v>12</v>
      </c>
      <c r="F696" s="6" t="s">
        <v>1856</v>
      </c>
      <c r="G696">
        <v>12000</v>
      </c>
      <c r="H696">
        <v>12000</v>
      </c>
      <c r="I696">
        <f t="shared" si="49"/>
        <v>0</v>
      </c>
      <c r="K696" t="s">
        <v>1859</v>
      </c>
    </row>
    <row r="697" spans="2:11" x14ac:dyDescent="0.3">
      <c r="E697" s="120" t="s">
        <v>1858</v>
      </c>
      <c r="F697" s="121"/>
      <c r="G697" s="121"/>
      <c r="H697" s="49">
        <f>SUM(H663:H696)</f>
        <v>2733237</v>
      </c>
    </row>
    <row r="699" spans="2:11" x14ac:dyDescent="0.3">
      <c r="B699">
        <v>1</v>
      </c>
      <c r="C699" t="s">
        <v>473</v>
      </c>
      <c r="D699" t="s">
        <v>119</v>
      </c>
      <c r="E699" t="s">
        <v>7</v>
      </c>
      <c r="F699" s="6" t="s">
        <v>1860</v>
      </c>
      <c r="G699">
        <v>6000</v>
      </c>
      <c r="H699">
        <v>6000</v>
      </c>
      <c r="I699">
        <f t="shared" ref="I699:I705" si="50">G699-H699</f>
        <v>0</v>
      </c>
      <c r="K699" t="s">
        <v>1861</v>
      </c>
    </row>
    <row r="700" spans="2:11" x14ac:dyDescent="0.3">
      <c r="B700">
        <v>2</v>
      </c>
      <c r="C700" t="s">
        <v>1862</v>
      </c>
      <c r="D700" t="s">
        <v>1863</v>
      </c>
      <c r="E700" t="s">
        <v>12</v>
      </c>
      <c r="F700" s="6" t="s">
        <v>1864</v>
      </c>
      <c r="G700">
        <f>400000+30000</f>
        <v>430000</v>
      </c>
      <c r="H700">
        <f>300000+130000</f>
        <v>430000</v>
      </c>
      <c r="I700">
        <f t="shared" si="50"/>
        <v>0</v>
      </c>
      <c r="K700" t="s">
        <v>2302</v>
      </c>
    </row>
    <row r="701" spans="2:11" x14ac:dyDescent="0.3">
      <c r="B701">
        <v>3</v>
      </c>
      <c r="C701" t="s">
        <v>366</v>
      </c>
      <c r="D701" t="s">
        <v>1571</v>
      </c>
      <c r="E701" t="s">
        <v>12</v>
      </c>
      <c r="F701" s="6" t="s">
        <v>1865</v>
      </c>
      <c r="G701">
        <v>6600</v>
      </c>
      <c r="H701">
        <v>6600</v>
      </c>
      <c r="I701">
        <f t="shared" si="50"/>
        <v>0</v>
      </c>
      <c r="K701" t="s">
        <v>1866</v>
      </c>
    </row>
    <row r="702" spans="2:11" x14ac:dyDescent="0.3">
      <c r="B702">
        <v>4</v>
      </c>
      <c r="C702" t="s">
        <v>1867</v>
      </c>
      <c r="D702" t="s">
        <v>1868</v>
      </c>
      <c r="E702" t="s">
        <v>1869</v>
      </c>
      <c r="F702" s="6" t="s">
        <v>1870</v>
      </c>
      <c r="G702">
        <v>14000</v>
      </c>
      <c r="H702">
        <v>14000</v>
      </c>
      <c r="I702">
        <f t="shared" si="50"/>
        <v>0</v>
      </c>
      <c r="K702" t="s">
        <v>1871</v>
      </c>
    </row>
    <row r="703" spans="2:11" x14ac:dyDescent="0.3">
      <c r="B703">
        <v>5</v>
      </c>
      <c r="C703" t="s">
        <v>263</v>
      </c>
      <c r="D703" t="s">
        <v>311</v>
      </c>
      <c r="E703" t="s">
        <v>131</v>
      </c>
      <c r="F703" s="6" t="s">
        <v>1873</v>
      </c>
      <c r="G703">
        <f>16800+16800+20000</f>
        <v>53600</v>
      </c>
      <c r="H703">
        <v>53600</v>
      </c>
      <c r="I703">
        <f t="shared" si="50"/>
        <v>0</v>
      </c>
      <c r="K703" t="s">
        <v>1874</v>
      </c>
    </row>
    <row r="704" spans="2:11" x14ac:dyDescent="0.3">
      <c r="B704">
        <v>6</v>
      </c>
      <c r="C704" t="s">
        <v>1877</v>
      </c>
      <c r="D704" t="s">
        <v>654</v>
      </c>
      <c r="E704" t="s">
        <v>710</v>
      </c>
      <c r="F704" s="6" t="s">
        <v>1873</v>
      </c>
      <c r="G704">
        <f>50000+4500+2000+25000+1000+25000</f>
        <v>107500</v>
      </c>
      <c r="H704">
        <f>25000+10000+15000+10000+30000+17500</f>
        <v>107500</v>
      </c>
      <c r="I704">
        <f t="shared" si="50"/>
        <v>0</v>
      </c>
      <c r="K704" t="s">
        <v>2153</v>
      </c>
    </row>
    <row r="705" spans="2:11" x14ac:dyDescent="0.3">
      <c r="B705">
        <v>7</v>
      </c>
      <c r="C705" t="s">
        <v>1515</v>
      </c>
      <c r="F705" s="6" t="s">
        <v>1896</v>
      </c>
      <c r="G705">
        <v>63000</v>
      </c>
      <c r="H705">
        <f>4500+54000+4500</f>
        <v>63000</v>
      </c>
      <c r="I705">
        <f t="shared" si="50"/>
        <v>0</v>
      </c>
      <c r="K705" t="s">
        <v>1910</v>
      </c>
    </row>
    <row r="706" spans="2:11" x14ac:dyDescent="0.3">
      <c r="E706" s="120" t="s">
        <v>1897</v>
      </c>
      <c r="F706" s="121"/>
      <c r="G706" s="121"/>
      <c r="H706" s="49">
        <f>SUM(H699:H705)</f>
        <v>680700</v>
      </c>
    </row>
    <row r="708" spans="2:11" x14ac:dyDescent="0.3">
      <c r="B708">
        <v>1</v>
      </c>
      <c r="C708" t="s">
        <v>310</v>
      </c>
      <c r="D708" t="s">
        <v>311</v>
      </c>
      <c r="E708" t="s">
        <v>131</v>
      </c>
      <c r="F708" s="6" t="s">
        <v>1622</v>
      </c>
      <c r="G708">
        <f>16000+6400-12000</f>
        <v>10400</v>
      </c>
      <c r="H708">
        <v>10400</v>
      </c>
      <c r="I708">
        <f t="shared" ref="I708:I728" si="51">G708-H708</f>
        <v>0</v>
      </c>
      <c r="K708" t="s">
        <v>1898</v>
      </c>
    </row>
    <row r="709" spans="2:11" x14ac:dyDescent="0.3">
      <c r="B709">
        <v>2</v>
      </c>
      <c r="C709" t="s">
        <v>1899</v>
      </c>
      <c r="D709" t="s">
        <v>1900</v>
      </c>
      <c r="E709" t="s">
        <v>39</v>
      </c>
      <c r="F709" s="6" t="s">
        <v>1622</v>
      </c>
      <c r="G709">
        <f>80000+18000+14400</f>
        <v>112400</v>
      </c>
      <c r="H709">
        <f>50000+50000+12400</f>
        <v>112400</v>
      </c>
      <c r="I709">
        <f t="shared" si="51"/>
        <v>0</v>
      </c>
      <c r="K709" t="s">
        <v>1981</v>
      </c>
    </row>
    <row r="710" spans="2:11" x14ac:dyDescent="0.3">
      <c r="B710">
        <v>3</v>
      </c>
      <c r="C710" t="s">
        <v>1901</v>
      </c>
      <c r="D710" t="s">
        <v>926</v>
      </c>
      <c r="E710" t="s">
        <v>131</v>
      </c>
      <c r="F710" s="6" t="s">
        <v>1622</v>
      </c>
      <c r="G710">
        <f>40000+12000</f>
        <v>52000</v>
      </c>
      <c r="H710">
        <f>20000+21000+11000</f>
        <v>52000</v>
      </c>
      <c r="I710">
        <f t="shared" si="51"/>
        <v>0</v>
      </c>
      <c r="K710" t="s">
        <v>1965</v>
      </c>
    </row>
    <row r="711" spans="2:11" x14ac:dyDescent="0.3">
      <c r="B711">
        <v>4</v>
      </c>
      <c r="C711" t="s">
        <v>886</v>
      </c>
      <c r="D711" t="s">
        <v>1528</v>
      </c>
      <c r="E711" t="s">
        <v>888</v>
      </c>
      <c r="F711" s="6" t="s">
        <v>1902</v>
      </c>
      <c r="G711">
        <v>48000</v>
      </c>
      <c r="H711">
        <v>48000</v>
      </c>
      <c r="I711">
        <f t="shared" si="51"/>
        <v>0</v>
      </c>
      <c r="K711" t="s">
        <v>1916</v>
      </c>
    </row>
    <row r="712" spans="2:11" x14ac:dyDescent="0.3">
      <c r="B712">
        <v>5</v>
      </c>
      <c r="C712" t="s">
        <v>1903</v>
      </c>
      <c r="D712" t="s">
        <v>1904</v>
      </c>
      <c r="E712" t="s">
        <v>12</v>
      </c>
      <c r="F712" s="6" t="s">
        <v>1905</v>
      </c>
      <c r="G712">
        <f>80000+18000+14400</f>
        <v>112400</v>
      </c>
      <c r="H712">
        <v>112400</v>
      </c>
      <c r="I712">
        <f t="shared" si="51"/>
        <v>0</v>
      </c>
      <c r="K712" t="s">
        <v>1911</v>
      </c>
    </row>
    <row r="713" spans="2:11" x14ac:dyDescent="0.3">
      <c r="B713">
        <v>6</v>
      </c>
      <c r="C713" s="4" t="s">
        <v>122</v>
      </c>
      <c r="D713" t="s">
        <v>123</v>
      </c>
      <c r="E713" t="s">
        <v>46</v>
      </c>
      <c r="F713" s="6" t="s">
        <v>1906</v>
      </c>
      <c r="G713">
        <v>12000</v>
      </c>
      <c r="H713">
        <v>7000</v>
      </c>
      <c r="I713">
        <f t="shared" si="51"/>
        <v>5000</v>
      </c>
      <c r="K713" t="s">
        <v>1907</v>
      </c>
    </row>
    <row r="714" spans="2:11" x14ac:dyDescent="0.3">
      <c r="B714">
        <v>7</v>
      </c>
      <c r="C714" s="4" t="s">
        <v>1947</v>
      </c>
      <c r="E714" t="s">
        <v>51</v>
      </c>
      <c r="F714" s="6" t="s">
        <v>1908</v>
      </c>
      <c r="G714">
        <f>15000+14400</f>
        <v>29400</v>
      </c>
      <c r="H714">
        <f>15000+14400</f>
        <v>29400</v>
      </c>
      <c r="I714">
        <f t="shared" si="51"/>
        <v>0</v>
      </c>
      <c r="K714" t="s">
        <v>1912</v>
      </c>
    </row>
    <row r="715" spans="2:11" x14ac:dyDescent="0.3">
      <c r="B715">
        <v>8</v>
      </c>
      <c r="C715" s="4" t="s">
        <v>1948</v>
      </c>
      <c r="E715" t="s">
        <v>12</v>
      </c>
      <c r="F715" s="6" t="s">
        <v>1913</v>
      </c>
      <c r="G715">
        <f>10000+10000+4000</f>
        <v>24000</v>
      </c>
      <c r="H715">
        <f>10000+10000</f>
        <v>20000</v>
      </c>
      <c r="I715">
        <f t="shared" si="51"/>
        <v>4000</v>
      </c>
      <c r="K715" t="s">
        <v>2116</v>
      </c>
    </row>
    <row r="716" spans="2:11" x14ac:dyDescent="0.3">
      <c r="B716">
        <v>9</v>
      </c>
      <c r="C716" s="4" t="s">
        <v>337</v>
      </c>
      <c r="D716" t="s">
        <v>338</v>
      </c>
      <c r="E716" t="s">
        <v>339</v>
      </c>
      <c r="F716" s="6" t="s">
        <v>1914</v>
      </c>
      <c r="G716">
        <v>12000</v>
      </c>
      <c r="H716">
        <v>12000</v>
      </c>
      <c r="I716">
        <f t="shared" si="51"/>
        <v>0</v>
      </c>
      <c r="K716" t="s">
        <v>1915</v>
      </c>
    </row>
    <row r="717" spans="2:11" x14ac:dyDescent="0.3">
      <c r="B717">
        <v>10</v>
      </c>
      <c r="C717" s="4" t="s">
        <v>1358</v>
      </c>
      <c r="D717" t="s">
        <v>164</v>
      </c>
      <c r="E717" t="s">
        <v>325</v>
      </c>
      <c r="F717" s="6" t="s">
        <v>1917</v>
      </c>
      <c r="G717">
        <v>15000</v>
      </c>
      <c r="H717">
        <v>15000</v>
      </c>
      <c r="I717">
        <f t="shared" si="51"/>
        <v>0</v>
      </c>
      <c r="K717" t="s">
        <v>2036</v>
      </c>
    </row>
    <row r="718" spans="2:11" x14ac:dyDescent="0.3">
      <c r="B718">
        <v>11</v>
      </c>
      <c r="C718" s="4" t="s">
        <v>1928</v>
      </c>
      <c r="D718" t="s">
        <v>192</v>
      </c>
      <c r="E718" t="s">
        <v>39</v>
      </c>
      <c r="F718" s="6" t="s">
        <v>1929</v>
      </c>
      <c r="G718">
        <f>7200+6000</f>
        <v>13200</v>
      </c>
      <c r="H718">
        <v>12000</v>
      </c>
      <c r="I718">
        <f t="shared" si="51"/>
        <v>1200</v>
      </c>
      <c r="K718" t="s">
        <v>1930</v>
      </c>
    </row>
    <row r="720" spans="2:11" x14ac:dyDescent="0.3">
      <c r="B720">
        <v>12</v>
      </c>
      <c r="C720" s="4" t="s">
        <v>442</v>
      </c>
      <c r="D720" t="s">
        <v>443</v>
      </c>
      <c r="E720" t="s">
        <v>12</v>
      </c>
      <c r="F720" s="6" t="s">
        <v>1929</v>
      </c>
      <c r="G720">
        <f>12000+14400+4000</f>
        <v>30400</v>
      </c>
      <c r="H720">
        <f>26400+4000</f>
        <v>30400</v>
      </c>
      <c r="I720">
        <f t="shared" si="51"/>
        <v>0</v>
      </c>
      <c r="K720" t="s">
        <v>1990</v>
      </c>
    </row>
    <row r="721" spans="2:11" x14ac:dyDescent="0.3">
      <c r="B721">
        <v>13</v>
      </c>
      <c r="C721" s="4" t="s">
        <v>320</v>
      </c>
      <c r="D721" t="s">
        <v>1376</v>
      </c>
      <c r="E721" t="s">
        <v>12</v>
      </c>
      <c r="F721" s="6" t="s">
        <v>1931</v>
      </c>
      <c r="G721">
        <f>12000+14400</f>
        <v>26400</v>
      </c>
      <c r="H721">
        <v>26400</v>
      </c>
      <c r="I721">
        <f t="shared" si="51"/>
        <v>0</v>
      </c>
      <c r="K721" t="s">
        <v>1932</v>
      </c>
    </row>
    <row r="722" spans="2:11" x14ac:dyDescent="0.3">
      <c r="B722">
        <v>14</v>
      </c>
      <c r="C722" s="4" t="s">
        <v>1933</v>
      </c>
      <c r="E722" t="s">
        <v>46</v>
      </c>
      <c r="F722" s="6" t="s">
        <v>1934</v>
      </c>
      <c r="G722">
        <v>12000</v>
      </c>
      <c r="H722">
        <v>12000</v>
      </c>
      <c r="I722">
        <f t="shared" si="51"/>
        <v>0</v>
      </c>
      <c r="K722" t="s">
        <v>1935</v>
      </c>
    </row>
    <row r="723" spans="2:11" x14ac:dyDescent="0.3">
      <c r="B723">
        <v>15</v>
      </c>
      <c r="C723" s="4" t="s">
        <v>179</v>
      </c>
      <c r="D723" t="s">
        <v>1654</v>
      </c>
      <c r="E723" t="s">
        <v>1936</v>
      </c>
      <c r="F723" s="6" t="s">
        <v>1934</v>
      </c>
      <c r="G723">
        <v>6000</v>
      </c>
      <c r="H723">
        <v>6000</v>
      </c>
      <c r="I723">
        <f t="shared" si="51"/>
        <v>0</v>
      </c>
      <c r="K723" t="s">
        <v>1991</v>
      </c>
    </row>
    <row r="724" spans="2:11" x14ac:dyDescent="0.3">
      <c r="B724">
        <v>16</v>
      </c>
      <c r="C724" s="4" t="s">
        <v>1938</v>
      </c>
      <c r="D724" t="s">
        <v>18</v>
      </c>
      <c r="E724" t="s">
        <v>51</v>
      </c>
      <c r="F724" s="6" t="s">
        <v>1934</v>
      </c>
      <c r="G724">
        <f>14400+6000</f>
        <v>20400</v>
      </c>
      <c r="H724">
        <v>20400</v>
      </c>
      <c r="I724">
        <f t="shared" si="51"/>
        <v>0</v>
      </c>
      <c r="K724" t="s">
        <v>1941</v>
      </c>
    </row>
    <row r="725" spans="2:11" x14ac:dyDescent="0.3">
      <c r="B725">
        <v>17</v>
      </c>
      <c r="C725" s="4" t="s">
        <v>1181</v>
      </c>
      <c r="D725" t="s">
        <v>332</v>
      </c>
      <c r="E725" t="s">
        <v>51</v>
      </c>
      <c r="F725" s="6" t="s">
        <v>1934</v>
      </c>
      <c r="G725">
        <f>12000+14400+14400</f>
        <v>40800</v>
      </c>
      <c r="H725">
        <v>40800</v>
      </c>
      <c r="I725">
        <f t="shared" si="51"/>
        <v>0</v>
      </c>
      <c r="K725" t="s">
        <v>1942</v>
      </c>
    </row>
    <row r="726" spans="2:11" x14ac:dyDescent="0.3">
      <c r="B726">
        <v>18</v>
      </c>
      <c r="C726" t="s">
        <v>695</v>
      </c>
      <c r="D726" t="s">
        <v>1202</v>
      </c>
      <c r="E726" t="s">
        <v>12</v>
      </c>
      <c r="F726" s="6" t="s">
        <v>1934</v>
      </c>
      <c r="G726">
        <v>18000</v>
      </c>
      <c r="H726">
        <v>18000</v>
      </c>
      <c r="I726">
        <f t="shared" si="51"/>
        <v>0</v>
      </c>
      <c r="K726" t="s">
        <v>1939</v>
      </c>
    </row>
    <row r="727" spans="2:11" x14ac:dyDescent="0.3">
      <c r="B727">
        <v>19</v>
      </c>
      <c r="C727" t="s">
        <v>17</v>
      </c>
      <c r="D727" t="s">
        <v>18</v>
      </c>
      <c r="E727" t="s">
        <v>12</v>
      </c>
      <c r="F727" s="6" t="s">
        <v>1934</v>
      </c>
      <c r="G727">
        <v>24000</v>
      </c>
      <c r="H727">
        <v>24000</v>
      </c>
      <c r="I727">
        <f t="shared" si="51"/>
        <v>0</v>
      </c>
      <c r="K727" t="s">
        <v>1940</v>
      </c>
    </row>
    <row r="728" spans="2:11" x14ac:dyDescent="0.3">
      <c r="B728">
        <v>20</v>
      </c>
      <c r="C728" t="s">
        <v>23</v>
      </c>
      <c r="D728" t="s">
        <v>24</v>
      </c>
      <c r="E728" t="s">
        <v>12</v>
      </c>
      <c r="F728" s="6" t="s">
        <v>1934</v>
      </c>
      <c r="G728">
        <v>198000</v>
      </c>
      <c r="H728">
        <v>198000</v>
      </c>
      <c r="I728">
        <f t="shared" si="51"/>
        <v>0</v>
      </c>
      <c r="K728" t="s">
        <v>1943</v>
      </c>
    </row>
    <row r="729" spans="2:11" x14ac:dyDescent="0.3">
      <c r="B729">
        <v>21</v>
      </c>
      <c r="C729" t="s">
        <v>949</v>
      </c>
      <c r="D729" t="s">
        <v>94</v>
      </c>
      <c r="E729" t="s">
        <v>950</v>
      </c>
      <c r="F729" s="6" t="s">
        <v>1944</v>
      </c>
      <c r="G729">
        <v>20000</v>
      </c>
      <c r="H729">
        <v>20000</v>
      </c>
      <c r="I729">
        <f t="shared" ref="I729" si="52">G729-H729</f>
        <v>0</v>
      </c>
      <c r="K729" t="s">
        <v>1946</v>
      </c>
    </row>
    <row r="730" spans="2:11" x14ac:dyDescent="0.3">
      <c r="B730">
        <v>23</v>
      </c>
      <c r="C730" t="s">
        <v>1109</v>
      </c>
      <c r="D730" t="s">
        <v>1110</v>
      </c>
      <c r="E730" t="s">
        <v>12</v>
      </c>
      <c r="F730" s="6" t="s">
        <v>1484</v>
      </c>
      <c r="G730">
        <v>6000</v>
      </c>
      <c r="H730">
        <v>6000</v>
      </c>
      <c r="I730">
        <f t="shared" ref="I730:I745" si="53">G730-H730</f>
        <v>0</v>
      </c>
      <c r="K730" t="s">
        <v>1953</v>
      </c>
    </row>
    <row r="731" spans="2:11" x14ac:dyDescent="0.3">
      <c r="B731">
        <v>24</v>
      </c>
      <c r="C731" t="s">
        <v>1346</v>
      </c>
      <c r="D731" t="s">
        <v>926</v>
      </c>
      <c r="E731" t="s">
        <v>12</v>
      </c>
      <c r="F731" s="6" t="s">
        <v>1484</v>
      </c>
      <c r="G731">
        <v>72000</v>
      </c>
      <c r="H731">
        <f>22000+50000</f>
        <v>72000</v>
      </c>
      <c r="I731">
        <f t="shared" si="53"/>
        <v>0</v>
      </c>
      <c r="K731" t="s">
        <v>2032</v>
      </c>
    </row>
    <row r="732" spans="2:11" x14ac:dyDescent="0.3">
      <c r="B732">
        <v>25</v>
      </c>
      <c r="C732" t="s">
        <v>1347</v>
      </c>
      <c r="D732" t="s">
        <v>11</v>
      </c>
      <c r="E732" t="s">
        <v>12</v>
      </c>
      <c r="F732" s="6" t="s">
        <v>1484</v>
      </c>
      <c r="G732">
        <v>72000</v>
      </c>
      <c r="H732">
        <f>50000+20000</f>
        <v>70000</v>
      </c>
      <c r="I732">
        <f t="shared" si="53"/>
        <v>2000</v>
      </c>
      <c r="K732" t="s">
        <v>2127</v>
      </c>
    </row>
    <row r="733" spans="2:11" x14ac:dyDescent="0.3">
      <c r="B733">
        <v>26</v>
      </c>
      <c r="C733" t="s">
        <v>1950</v>
      </c>
      <c r="D733" t="s">
        <v>1086</v>
      </c>
      <c r="E733" t="s">
        <v>710</v>
      </c>
      <c r="F733" s="6" t="s">
        <v>1484</v>
      </c>
      <c r="G733">
        <f>12000+12000</f>
        <v>24000</v>
      </c>
      <c r="H733">
        <v>24000</v>
      </c>
      <c r="I733">
        <f t="shared" si="53"/>
        <v>0</v>
      </c>
      <c r="K733" t="s">
        <v>1997</v>
      </c>
    </row>
    <row r="734" spans="2:11" x14ac:dyDescent="0.3">
      <c r="B734">
        <v>27</v>
      </c>
      <c r="C734" t="s">
        <v>1951</v>
      </c>
      <c r="D734" t="s">
        <v>1245</v>
      </c>
      <c r="E734" t="s">
        <v>1952</v>
      </c>
      <c r="F734" s="6" t="s">
        <v>1484</v>
      </c>
      <c r="G734">
        <v>6000</v>
      </c>
      <c r="H734">
        <v>6000</v>
      </c>
      <c r="I734">
        <f t="shared" si="53"/>
        <v>0</v>
      </c>
      <c r="K734" t="s">
        <v>1937</v>
      </c>
    </row>
    <row r="735" spans="2:11" x14ac:dyDescent="0.3">
      <c r="B735">
        <v>28</v>
      </c>
      <c r="C735" t="s">
        <v>1954</v>
      </c>
      <c r="D735" t="s">
        <v>26</v>
      </c>
      <c r="E735" t="s">
        <v>245</v>
      </c>
      <c r="F735" s="6" t="s">
        <v>1484</v>
      </c>
      <c r="G735">
        <f>50000+16800</f>
        <v>66800</v>
      </c>
      <c r="H735">
        <v>66800</v>
      </c>
      <c r="I735">
        <f t="shared" si="53"/>
        <v>0</v>
      </c>
      <c r="K735" t="s">
        <v>2010</v>
      </c>
    </row>
    <row r="736" spans="2:11" x14ac:dyDescent="0.3">
      <c r="B736">
        <v>29</v>
      </c>
      <c r="C736" t="s">
        <v>1009</v>
      </c>
      <c r="D736" t="s">
        <v>1955</v>
      </c>
      <c r="E736" t="s">
        <v>12</v>
      </c>
      <c r="F736" s="6" t="s">
        <v>1484</v>
      </c>
      <c r="G736">
        <v>12000</v>
      </c>
      <c r="H736">
        <v>12000</v>
      </c>
      <c r="I736">
        <f t="shared" si="53"/>
        <v>0</v>
      </c>
      <c r="K736" t="s">
        <v>1956</v>
      </c>
    </row>
    <row r="737" spans="2:11" x14ac:dyDescent="0.3">
      <c r="B737">
        <v>30</v>
      </c>
      <c r="C737" t="s">
        <v>1212</v>
      </c>
      <c r="D737" t="s">
        <v>1957</v>
      </c>
      <c r="E737" t="s">
        <v>51</v>
      </c>
      <c r="F737" s="6" t="s">
        <v>1484</v>
      </c>
      <c r="G737">
        <v>18000</v>
      </c>
      <c r="H737">
        <v>18000</v>
      </c>
      <c r="I737">
        <f t="shared" si="53"/>
        <v>0</v>
      </c>
      <c r="K737" t="s">
        <v>2182</v>
      </c>
    </row>
    <row r="738" spans="2:11" x14ac:dyDescent="0.3">
      <c r="B738">
        <v>31</v>
      </c>
      <c r="C738" t="s">
        <v>1958</v>
      </c>
      <c r="D738" t="s">
        <v>1959</v>
      </c>
      <c r="E738" t="s">
        <v>12</v>
      </c>
      <c r="F738" s="6" t="s">
        <v>1484</v>
      </c>
      <c r="G738">
        <v>105600</v>
      </c>
      <c r="I738">
        <f t="shared" si="53"/>
        <v>105600</v>
      </c>
      <c r="K738" t="s">
        <v>1966</v>
      </c>
    </row>
    <row r="739" spans="2:11" x14ac:dyDescent="0.3">
      <c r="B739">
        <v>32</v>
      </c>
      <c r="C739" t="s">
        <v>1410</v>
      </c>
      <c r="D739" t="s">
        <v>1411</v>
      </c>
      <c r="E739" t="s">
        <v>12</v>
      </c>
      <c r="F739" s="6" t="s">
        <v>1484</v>
      </c>
      <c r="G739">
        <f>24000+24000</f>
        <v>48000</v>
      </c>
      <c r="H739">
        <v>48000</v>
      </c>
      <c r="I739">
        <f t="shared" si="53"/>
        <v>0</v>
      </c>
      <c r="K739" t="s">
        <v>2033</v>
      </c>
    </row>
    <row r="740" spans="2:11" x14ac:dyDescent="0.3">
      <c r="B740">
        <v>33</v>
      </c>
      <c r="C740" t="s">
        <v>1968</v>
      </c>
      <c r="D740" t="s">
        <v>715</v>
      </c>
      <c r="E740" t="s">
        <v>22</v>
      </c>
      <c r="F740" s="6" t="s">
        <v>1484</v>
      </c>
      <c r="G740">
        <v>12000</v>
      </c>
      <c r="H740">
        <v>12000</v>
      </c>
      <c r="I740">
        <f t="shared" si="53"/>
        <v>0</v>
      </c>
      <c r="K740" t="s">
        <v>1956</v>
      </c>
    </row>
    <row r="741" spans="2:11" x14ac:dyDescent="0.3">
      <c r="B741">
        <v>34</v>
      </c>
      <c r="C741" t="s">
        <v>99</v>
      </c>
      <c r="D741" t="s">
        <v>100</v>
      </c>
      <c r="E741" t="s">
        <v>12</v>
      </c>
      <c r="F741" s="6" t="s">
        <v>1484</v>
      </c>
      <c r="G741">
        <v>36000</v>
      </c>
      <c r="H741">
        <v>36000</v>
      </c>
      <c r="I741">
        <f t="shared" si="53"/>
        <v>0</v>
      </c>
      <c r="K741" t="s">
        <v>2037</v>
      </c>
    </row>
    <row r="742" spans="2:11" x14ac:dyDescent="0.3">
      <c r="B742">
        <v>35</v>
      </c>
      <c r="C742" t="s">
        <v>1969</v>
      </c>
      <c r="D742" t="s">
        <v>1086</v>
      </c>
      <c r="E742" t="s">
        <v>1085</v>
      </c>
      <c r="F742" s="6" t="s">
        <v>1484</v>
      </c>
      <c r="G742">
        <v>6000</v>
      </c>
      <c r="H742">
        <v>6000</v>
      </c>
      <c r="I742">
        <f t="shared" si="53"/>
        <v>0</v>
      </c>
      <c r="K742" t="s">
        <v>1970</v>
      </c>
    </row>
    <row r="743" spans="2:11" x14ac:dyDescent="0.3">
      <c r="B743">
        <v>36</v>
      </c>
      <c r="C743" t="s">
        <v>1971</v>
      </c>
      <c r="D743" t="s">
        <v>1354</v>
      </c>
      <c r="E743" t="s">
        <v>39</v>
      </c>
      <c r="F743" s="6" t="s">
        <v>1484</v>
      </c>
      <c r="G743">
        <f>7200+6000</f>
        <v>13200</v>
      </c>
      <c r="H743">
        <f>7200+6000</f>
        <v>13200</v>
      </c>
      <c r="I743">
        <f t="shared" si="53"/>
        <v>0</v>
      </c>
      <c r="K743" t="s">
        <v>2006</v>
      </c>
    </row>
    <row r="744" spans="2:11" x14ac:dyDescent="0.3">
      <c r="B744">
        <v>37</v>
      </c>
      <c r="C744" t="s">
        <v>1454</v>
      </c>
      <c r="D744" t="s">
        <v>1354</v>
      </c>
      <c r="E744" t="s">
        <v>39</v>
      </c>
      <c r="F744" s="6" t="s">
        <v>1484</v>
      </c>
      <c r="G744">
        <f>7200+6000</f>
        <v>13200</v>
      </c>
      <c r="H744">
        <v>13200</v>
      </c>
      <c r="I744">
        <f t="shared" si="53"/>
        <v>0</v>
      </c>
      <c r="K744" t="s">
        <v>2314</v>
      </c>
    </row>
    <row r="745" spans="2:11" x14ac:dyDescent="0.3">
      <c r="B745">
        <v>38</v>
      </c>
      <c r="C745" t="s">
        <v>9</v>
      </c>
      <c r="D745" t="s">
        <v>14</v>
      </c>
      <c r="E745" t="s">
        <v>12</v>
      </c>
      <c r="F745" s="6" t="s">
        <v>1484</v>
      </c>
      <c r="G745">
        <f>12000*10</f>
        <v>120000</v>
      </c>
      <c r="H745">
        <v>120000</v>
      </c>
      <c r="I745">
        <f t="shared" si="53"/>
        <v>0</v>
      </c>
      <c r="K745" t="s">
        <v>2132</v>
      </c>
    </row>
    <row r="746" spans="2:11" x14ac:dyDescent="0.3">
      <c r="E746" s="120" t="s">
        <v>1972</v>
      </c>
      <c r="F746" s="121"/>
      <c r="G746" s="121"/>
      <c r="H746" s="49">
        <f>SUM(H708:H745)</f>
        <v>1349800</v>
      </c>
    </row>
    <row r="747" spans="2:11" x14ac:dyDescent="0.3">
      <c r="H747" s="92">
        <f>H746+H706+H697+H661+H648+H627+H612+H585+H574+H563+H534</f>
        <v>8015237</v>
      </c>
    </row>
    <row r="748" spans="2:11" x14ac:dyDescent="0.3">
      <c r="B748">
        <v>1</v>
      </c>
      <c r="C748" t="s">
        <v>204</v>
      </c>
      <c r="D748" t="s">
        <v>249</v>
      </c>
      <c r="E748" t="s">
        <v>12</v>
      </c>
      <c r="F748" s="6" t="s">
        <v>1973</v>
      </c>
      <c r="G748">
        <v>40000</v>
      </c>
      <c r="H748">
        <v>40000</v>
      </c>
      <c r="I748">
        <f t="shared" ref="I748:I750" si="54">G748-H748</f>
        <v>0</v>
      </c>
      <c r="K748" t="s">
        <v>2108</v>
      </c>
    </row>
    <row r="749" spans="2:11" x14ac:dyDescent="0.3">
      <c r="B749">
        <v>2</v>
      </c>
      <c r="C749" t="s">
        <v>2445</v>
      </c>
      <c r="D749" t="s">
        <v>1738</v>
      </c>
      <c r="E749" t="s">
        <v>51</v>
      </c>
      <c r="F749" s="6" t="s">
        <v>1484</v>
      </c>
      <c r="G749">
        <f>12000+14400</f>
        <v>26400</v>
      </c>
      <c r="H749">
        <v>26400</v>
      </c>
      <c r="I749">
        <f t="shared" si="54"/>
        <v>0</v>
      </c>
      <c r="K749" t="s">
        <v>2031</v>
      </c>
    </row>
    <row r="750" spans="2:11" x14ac:dyDescent="0.3">
      <c r="B750">
        <v>3</v>
      </c>
      <c r="C750" t="s">
        <v>1993</v>
      </c>
      <c r="D750" t="s">
        <v>1414</v>
      </c>
      <c r="E750" t="s">
        <v>12</v>
      </c>
      <c r="F750" s="6" t="s">
        <v>1484</v>
      </c>
      <c r="G750">
        <f>12000+15000</f>
        <v>27000</v>
      </c>
      <c r="H750">
        <v>12000</v>
      </c>
      <c r="I750">
        <f t="shared" si="54"/>
        <v>15000</v>
      </c>
      <c r="K750" t="s">
        <v>2115</v>
      </c>
    </row>
    <row r="751" spans="2:11" x14ac:dyDescent="0.3">
      <c r="B751">
        <v>4</v>
      </c>
      <c r="C751" t="s">
        <v>683</v>
      </c>
      <c r="D751" t="s">
        <v>684</v>
      </c>
      <c r="E751" t="s">
        <v>51</v>
      </c>
      <c r="F751" s="6" t="s">
        <v>1973</v>
      </c>
      <c r="G751">
        <v>12000</v>
      </c>
      <c r="H751">
        <v>12000</v>
      </c>
      <c r="I751">
        <f t="shared" ref="I751:I753" si="55">G751-H751</f>
        <v>0</v>
      </c>
      <c r="K751" t="s">
        <v>2019</v>
      </c>
    </row>
    <row r="752" spans="2:11" x14ac:dyDescent="0.3">
      <c r="B752">
        <v>5</v>
      </c>
      <c r="C752" t="s">
        <v>1978</v>
      </c>
      <c r="E752" t="s">
        <v>1979</v>
      </c>
      <c r="F752" s="6" t="s">
        <v>1973</v>
      </c>
      <c r="G752">
        <v>12000</v>
      </c>
      <c r="H752">
        <v>12000</v>
      </c>
      <c r="I752">
        <f t="shared" si="55"/>
        <v>0</v>
      </c>
      <c r="K752" t="s">
        <v>1980</v>
      </c>
    </row>
    <row r="753" spans="2:11" x14ac:dyDescent="0.3">
      <c r="B753">
        <v>6</v>
      </c>
      <c r="C753" s="4" t="s">
        <v>377</v>
      </c>
      <c r="D753" t="s">
        <v>373</v>
      </c>
      <c r="E753" t="s">
        <v>12</v>
      </c>
      <c r="F753" s="6" t="s">
        <v>1973</v>
      </c>
      <c r="G753">
        <f>84000+42000</f>
        <v>126000</v>
      </c>
      <c r="H753">
        <f>60000+34000+25000</f>
        <v>119000</v>
      </c>
      <c r="I753">
        <f t="shared" si="55"/>
        <v>7000</v>
      </c>
      <c r="K753" t="s">
        <v>2331</v>
      </c>
    </row>
    <row r="754" spans="2:11" x14ac:dyDescent="0.3">
      <c r="B754">
        <v>7</v>
      </c>
      <c r="C754" t="s">
        <v>49</v>
      </c>
      <c r="D754" t="s">
        <v>49</v>
      </c>
      <c r="E754" t="s">
        <v>51</v>
      </c>
      <c r="F754" s="6" t="s">
        <v>1973</v>
      </c>
      <c r="G754">
        <v>12000</v>
      </c>
      <c r="H754">
        <v>12000</v>
      </c>
      <c r="I754">
        <f t="shared" ref="I754:I777" si="56">G754-H754</f>
        <v>0</v>
      </c>
      <c r="K754" t="s">
        <v>2018</v>
      </c>
    </row>
    <row r="755" spans="2:11" x14ac:dyDescent="0.3">
      <c r="B755">
        <v>8</v>
      </c>
      <c r="C755" t="s">
        <v>1019</v>
      </c>
      <c r="E755" t="s">
        <v>1021</v>
      </c>
      <c r="F755" s="6" t="s">
        <v>1973</v>
      </c>
      <c r="G755">
        <v>12000</v>
      </c>
      <c r="H755">
        <v>12000</v>
      </c>
      <c r="I755">
        <f t="shared" si="56"/>
        <v>0</v>
      </c>
      <c r="K755" t="s">
        <v>2188</v>
      </c>
    </row>
    <row r="756" spans="2:11" x14ac:dyDescent="0.3">
      <c r="B756">
        <v>9</v>
      </c>
      <c r="C756" t="s">
        <v>1778</v>
      </c>
      <c r="D756" t="s">
        <v>1779</v>
      </c>
      <c r="E756" t="s">
        <v>51</v>
      </c>
      <c r="F756" s="6" t="s">
        <v>1973</v>
      </c>
      <c r="G756">
        <v>0</v>
      </c>
      <c r="I756">
        <f t="shared" si="56"/>
        <v>0</v>
      </c>
      <c r="K756" t="s">
        <v>2189</v>
      </c>
    </row>
    <row r="757" spans="2:11" x14ac:dyDescent="0.3">
      <c r="B757">
        <v>10</v>
      </c>
      <c r="C757" t="s">
        <v>487</v>
      </c>
      <c r="D757" t="s">
        <v>46</v>
      </c>
      <c r="E757" t="s">
        <v>12</v>
      </c>
      <c r="F757" s="6" t="s">
        <v>1973</v>
      </c>
      <c r="G757">
        <v>6000</v>
      </c>
      <c r="H757">
        <v>6000</v>
      </c>
      <c r="I757">
        <f t="shared" si="56"/>
        <v>0</v>
      </c>
      <c r="K757" t="s">
        <v>2011</v>
      </c>
    </row>
    <row r="758" spans="2:11" x14ac:dyDescent="0.3">
      <c r="B758">
        <v>11</v>
      </c>
      <c r="C758" t="s">
        <v>47</v>
      </c>
      <c r="D758" t="s">
        <v>92</v>
      </c>
      <c r="E758" t="s">
        <v>12</v>
      </c>
      <c r="F758" s="6" t="s">
        <v>1985</v>
      </c>
      <c r="G758">
        <f>12000*6</f>
        <v>72000</v>
      </c>
      <c r="H758">
        <f>12000+12000+12000+12000</f>
        <v>48000</v>
      </c>
      <c r="I758">
        <f t="shared" si="56"/>
        <v>24000</v>
      </c>
      <c r="K758" t="s">
        <v>2136</v>
      </c>
    </row>
    <row r="759" spans="2:11" x14ac:dyDescent="0.3">
      <c r="B759">
        <v>12</v>
      </c>
      <c r="C759" t="s">
        <v>1982</v>
      </c>
      <c r="D759" t="s">
        <v>94</v>
      </c>
      <c r="E759" t="s">
        <v>12</v>
      </c>
      <c r="F759" s="6" t="s">
        <v>1985</v>
      </c>
      <c r="G759">
        <v>12000</v>
      </c>
      <c r="I759">
        <f t="shared" si="56"/>
        <v>12000</v>
      </c>
      <c r="K759" t="s">
        <v>1983</v>
      </c>
    </row>
    <row r="760" spans="2:11" x14ac:dyDescent="0.3">
      <c r="B760">
        <v>13</v>
      </c>
      <c r="C760" t="s">
        <v>942</v>
      </c>
      <c r="D760" t="s">
        <v>134</v>
      </c>
      <c r="E760" t="s">
        <v>12</v>
      </c>
      <c r="F760" s="6" t="s">
        <v>1973</v>
      </c>
      <c r="G760">
        <v>12000</v>
      </c>
      <c r="H760">
        <v>12000</v>
      </c>
      <c r="I760">
        <f t="shared" si="56"/>
        <v>0</v>
      </c>
      <c r="K760" t="s">
        <v>2015</v>
      </c>
    </row>
    <row r="761" spans="2:11" x14ac:dyDescent="0.3">
      <c r="B761">
        <v>14</v>
      </c>
      <c r="C761" t="s">
        <v>69</v>
      </c>
      <c r="D761" t="s">
        <v>5</v>
      </c>
      <c r="E761" t="s">
        <v>1984</v>
      </c>
      <c r="F761" s="6" t="s">
        <v>1985</v>
      </c>
      <c r="G761">
        <v>12000</v>
      </c>
      <c r="H761">
        <v>12000</v>
      </c>
      <c r="I761">
        <f t="shared" si="56"/>
        <v>0</v>
      </c>
      <c r="K761" t="s">
        <v>2016</v>
      </c>
    </row>
    <row r="762" spans="2:11" x14ac:dyDescent="0.3">
      <c r="B762">
        <v>15</v>
      </c>
      <c r="C762" t="s">
        <v>1986</v>
      </c>
      <c r="D762" t="s">
        <v>789</v>
      </c>
      <c r="E762" t="s">
        <v>12</v>
      </c>
      <c r="F762" s="6" t="s">
        <v>1985</v>
      </c>
      <c r="G762">
        <v>6000</v>
      </c>
      <c r="H762">
        <v>6000</v>
      </c>
      <c r="I762">
        <f t="shared" si="56"/>
        <v>0</v>
      </c>
      <c r="K762" t="s">
        <v>2000</v>
      </c>
    </row>
    <row r="763" spans="2:11" x14ac:dyDescent="0.3">
      <c r="B763">
        <v>16</v>
      </c>
      <c r="C763" t="s">
        <v>1992</v>
      </c>
      <c r="D763" t="s">
        <v>1987</v>
      </c>
      <c r="E763" t="s">
        <v>46</v>
      </c>
      <c r="F763" s="6" t="s">
        <v>1985</v>
      </c>
      <c r="G763">
        <v>6000</v>
      </c>
      <c r="H763">
        <v>6000</v>
      </c>
      <c r="I763">
        <f t="shared" si="56"/>
        <v>0</v>
      </c>
      <c r="K763" t="s">
        <v>2012</v>
      </c>
    </row>
    <row r="764" spans="2:11" x14ac:dyDescent="0.3">
      <c r="B764">
        <v>17</v>
      </c>
      <c r="C764" t="s">
        <v>1988</v>
      </c>
      <c r="D764" t="s">
        <v>92</v>
      </c>
      <c r="E764" t="s">
        <v>12</v>
      </c>
      <c r="F764" s="6" t="s">
        <v>1985</v>
      </c>
      <c r="G764">
        <v>6000</v>
      </c>
      <c r="I764">
        <f t="shared" si="56"/>
        <v>6000</v>
      </c>
      <c r="K764" t="s">
        <v>1977</v>
      </c>
    </row>
    <row r="765" spans="2:11" x14ac:dyDescent="0.3">
      <c r="B765">
        <v>18</v>
      </c>
      <c r="C765" t="s">
        <v>1349</v>
      </c>
      <c r="D765" t="s">
        <v>1350</v>
      </c>
      <c r="E765" t="s">
        <v>12</v>
      </c>
      <c r="F765" s="6" t="s">
        <v>1944</v>
      </c>
      <c r="G765">
        <v>12000</v>
      </c>
      <c r="H765">
        <v>12000</v>
      </c>
      <c r="I765">
        <f t="shared" si="56"/>
        <v>0</v>
      </c>
      <c r="K765" t="s">
        <v>1989</v>
      </c>
    </row>
    <row r="766" spans="2:11" x14ac:dyDescent="0.3">
      <c r="B766">
        <v>19</v>
      </c>
      <c r="C766" t="s">
        <v>1089</v>
      </c>
      <c r="D766" t="s">
        <v>1090</v>
      </c>
      <c r="E766" t="s">
        <v>1091</v>
      </c>
      <c r="F766" s="6" t="s">
        <v>1985</v>
      </c>
      <c r="G766">
        <v>5000</v>
      </c>
      <c r="H766">
        <v>5000</v>
      </c>
      <c r="I766">
        <f t="shared" si="56"/>
        <v>0</v>
      </c>
      <c r="K766" t="s">
        <v>2183</v>
      </c>
    </row>
    <row r="767" spans="2:11" x14ac:dyDescent="0.3">
      <c r="B767">
        <v>20</v>
      </c>
      <c r="C767" t="s">
        <v>188</v>
      </c>
      <c r="D767" t="s">
        <v>189</v>
      </c>
      <c r="E767" t="s">
        <v>12</v>
      </c>
      <c r="F767" s="6" t="s">
        <v>1985</v>
      </c>
      <c r="G767">
        <v>12000</v>
      </c>
      <c r="H767">
        <v>12000</v>
      </c>
      <c r="I767">
        <f t="shared" si="56"/>
        <v>0</v>
      </c>
      <c r="K767" t="s">
        <v>2016</v>
      </c>
    </row>
    <row r="768" spans="2:11" x14ac:dyDescent="0.3">
      <c r="B768">
        <v>21</v>
      </c>
      <c r="C768" t="s">
        <v>1994</v>
      </c>
      <c r="D768" t="s">
        <v>1995</v>
      </c>
      <c r="E768" t="s">
        <v>12</v>
      </c>
      <c r="F768" s="6" t="s">
        <v>1985</v>
      </c>
      <c r="G768">
        <v>156000</v>
      </c>
      <c r="H768">
        <v>156000</v>
      </c>
      <c r="I768">
        <f t="shared" si="56"/>
        <v>0</v>
      </c>
      <c r="K768" t="s">
        <v>1996</v>
      </c>
    </row>
    <row r="769" spans="2:11" x14ac:dyDescent="0.3">
      <c r="B769">
        <v>22</v>
      </c>
      <c r="C769" t="s">
        <v>1998</v>
      </c>
      <c r="D769" t="s">
        <v>1180</v>
      </c>
      <c r="E769" t="s">
        <v>12</v>
      </c>
      <c r="F769" s="6" t="s">
        <v>1999</v>
      </c>
      <c r="G769">
        <v>6000</v>
      </c>
      <c r="H769">
        <v>6000</v>
      </c>
      <c r="I769">
        <f t="shared" si="56"/>
        <v>0</v>
      </c>
      <c r="K769" t="s">
        <v>2014</v>
      </c>
    </row>
    <row r="770" spans="2:11" x14ac:dyDescent="0.3">
      <c r="B770">
        <v>23</v>
      </c>
      <c r="C770" t="s">
        <v>2001</v>
      </c>
      <c r="D770" t="s">
        <v>2002</v>
      </c>
      <c r="E770" t="s">
        <v>51</v>
      </c>
      <c r="F770" s="6" t="s">
        <v>2003</v>
      </c>
      <c r="G770">
        <v>12000</v>
      </c>
      <c r="H770">
        <v>12000</v>
      </c>
      <c r="I770">
        <f t="shared" si="56"/>
        <v>0</v>
      </c>
      <c r="K770" t="s">
        <v>2004</v>
      </c>
    </row>
    <row r="771" spans="2:11" x14ac:dyDescent="0.3">
      <c r="B771">
        <v>24</v>
      </c>
      <c r="C771" t="s">
        <v>2005</v>
      </c>
      <c r="D771" t="s">
        <v>18</v>
      </c>
      <c r="E771" t="s">
        <v>403</v>
      </c>
      <c r="F771" s="6" t="s">
        <v>2003</v>
      </c>
      <c r="G771">
        <v>12000</v>
      </c>
      <c r="H771">
        <v>12000</v>
      </c>
      <c r="I771">
        <f t="shared" si="56"/>
        <v>0</v>
      </c>
      <c r="K771" t="s">
        <v>2043</v>
      </c>
    </row>
    <row r="772" spans="2:11" x14ac:dyDescent="0.3">
      <c r="B772">
        <v>25</v>
      </c>
      <c r="C772" t="s">
        <v>1899</v>
      </c>
      <c r="D772" t="s">
        <v>1900</v>
      </c>
      <c r="E772" t="s">
        <v>39</v>
      </c>
      <c r="F772" s="6" t="s">
        <v>2003</v>
      </c>
      <c r="G772">
        <f>50000+15000+14400</f>
        <v>79400</v>
      </c>
      <c r="H772">
        <f>50000+29400</f>
        <v>79400</v>
      </c>
      <c r="I772">
        <f t="shared" si="56"/>
        <v>0</v>
      </c>
      <c r="K772" t="s">
        <v>2160</v>
      </c>
    </row>
    <row r="773" spans="2:11" x14ac:dyDescent="0.3">
      <c r="B773">
        <v>26</v>
      </c>
      <c r="C773" t="s">
        <v>954</v>
      </c>
      <c r="D773" t="s">
        <v>488</v>
      </c>
      <c r="E773" t="s">
        <v>106</v>
      </c>
      <c r="F773" s="6" t="s">
        <v>2013</v>
      </c>
      <c r="G773">
        <v>12000</v>
      </c>
      <c r="H773">
        <v>12000</v>
      </c>
      <c r="I773">
        <f t="shared" si="56"/>
        <v>0</v>
      </c>
      <c r="K773" t="s">
        <v>2043</v>
      </c>
    </row>
    <row r="774" spans="2:11" x14ac:dyDescent="0.3">
      <c r="B774">
        <v>27</v>
      </c>
      <c r="C774" t="s">
        <v>2020</v>
      </c>
      <c r="D774" t="s">
        <v>2021</v>
      </c>
      <c r="E774" t="s">
        <v>7</v>
      </c>
      <c r="F774" s="6" t="s">
        <v>2022</v>
      </c>
      <c r="G774">
        <v>12000</v>
      </c>
      <c r="H774">
        <v>12000</v>
      </c>
      <c r="I774">
        <f t="shared" si="56"/>
        <v>0</v>
      </c>
      <c r="K774" t="s">
        <v>2023</v>
      </c>
    </row>
    <row r="775" spans="2:11" x14ac:dyDescent="0.3">
      <c r="B775">
        <v>28</v>
      </c>
      <c r="C775" t="s">
        <v>955</v>
      </c>
      <c r="D775" t="s">
        <v>344</v>
      </c>
      <c r="E775" t="s">
        <v>12</v>
      </c>
      <c r="F775" s="6" t="s">
        <v>2034</v>
      </c>
      <c r="G775">
        <v>15000</v>
      </c>
      <c r="H775">
        <v>15000</v>
      </c>
      <c r="I775">
        <f t="shared" si="56"/>
        <v>0</v>
      </c>
      <c r="K775" t="s">
        <v>2035</v>
      </c>
    </row>
    <row r="776" spans="2:11" x14ac:dyDescent="0.3">
      <c r="B776">
        <v>29</v>
      </c>
      <c r="C776" t="s">
        <v>2038</v>
      </c>
      <c r="D776" t="s">
        <v>2040</v>
      </c>
      <c r="E776" t="s">
        <v>2039</v>
      </c>
      <c r="F776" s="6" t="s">
        <v>2041</v>
      </c>
      <c r="G776">
        <v>24000</v>
      </c>
      <c r="H776">
        <v>24000</v>
      </c>
      <c r="I776">
        <f t="shared" si="56"/>
        <v>0</v>
      </c>
      <c r="K776" t="s">
        <v>2042</v>
      </c>
    </row>
    <row r="777" spans="2:11" x14ac:dyDescent="0.3">
      <c r="B777">
        <v>30</v>
      </c>
      <c r="C777" t="s">
        <v>2109</v>
      </c>
      <c r="D777" t="s">
        <v>2110</v>
      </c>
      <c r="E777" t="s">
        <v>204</v>
      </c>
      <c r="F777" s="6" t="s">
        <v>2111</v>
      </c>
      <c r="G777">
        <v>53000</v>
      </c>
      <c r="H777">
        <v>53000</v>
      </c>
      <c r="I777">
        <f t="shared" si="56"/>
        <v>0</v>
      </c>
      <c r="K777" t="s">
        <v>2112</v>
      </c>
    </row>
    <row r="778" spans="2:11" x14ac:dyDescent="0.3">
      <c r="E778" s="120" t="s">
        <v>2114</v>
      </c>
      <c r="F778" s="121"/>
      <c r="G778" s="121"/>
      <c r="H778" s="49">
        <f>SUM(H748:H777)</f>
        <v>745800</v>
      </c>
    </row>
    <row r="780" spans="2:11" x14ac:dyDescent="0.3">
      <c r="B780">
        <v>1</v>
      </c>
      <c r="C780" t="s">
        <v>1515</v>
      </c>
      <c r="F780" s="6" t="s">
        <v>2113</v>
      </c>
      <c r="G780">
        <v>63000</v>
      </c>
      <c r="H780">
        <f>15000+4500+20000+23500</f>
        <v>63000</v>
      </c>
      <c r="I780">
        <f>G780-H780</f>
        <v>0</v>
      </c>
      <c r="K780" t="s">
        <v>2126</v>
      </c>
    </row>
    <row r="781" spans="2:11" x14ac:dyDescent="0.3">
      <c r="B781">
        <v>2</v>
      </c>
      <c r="C781" t="s">
        <v>2117</v>
      </c>
      <c r="D781" t="s">
        <v>2118</v>
      </c>
      <c r="E781" t="s">
        <v>12</v>
      </c>
      <c r="F781" s="6" t="s">
        <v>2119</v>
      </c>
      <c r="G781">
        <f>25000+12000+24000</f>
        <v>61000</v>
      </c>
      <c r="H781">
        <f>24000+25000+4000</f>
        <v>53000</v>
      </c>
      <c r="I781">
        <f>G781-H781</f>
        <v>8000</v>
      </c>
      <c r="K781" t="s">
        <v>2403</v>
      </c>
    </row>
    <row r="782" spans="2:11" x14ac:dyDescent="0.3">
      <c r="B782">
        <v>3</v>
      </c>
      <c r="C782" t="s">
        <v>2121</v>
      </c>
      <c r="D782" t="s">
        <v>1647</v>
      </c>
      <c r="E782" t="s">
        <v>12</v>
      </c>
      <c r="F782" s="6" t="s">
        <v>2122</v>
      </c>
      <c r="G782">
        <f>6600+6000+5000</f>
        <v>17600</v>
      </c>
      <c r="H782">
        <v>17600</v>
      </c>
      <c r="I782">
        <f>G782-H782</f>
        <v>0</v>
      </c>
      <c r="K782" t="s">
        <v>2130</v>
      </c>
    </row>
    <row r="783" spans="2:11" x14ac:dyDescent="0.3">
      <c r="B783">
        <v>4</v>
      </c>
      <c r="C783" t="s">
        <v>1786</v>
      </c>
      <c r="E783" t="s">
        <v>51</v>
      </c>
      <c r="F783" s="6" t="s">
        <v>2124</v>
      </c>
      <c r="G783">
        <v>15500</v>
      </c>
      <c r="H783">
        <v>15500</v>
      </c>
      <c r="I783">
        <f t="shared" ref="I783" si="57">G783-H783</f>
        <v>0</v>
      </c>
      <c r="K783" t="s">
        <v>2125</v>
      </c>
    </row>
    <row r="784" spans="2:11" x14ac:dyDescent="0.3">
      <c r="B784">
        <v>5</v>
      </c>
      <c r="C784" t="s">
        <v>2123</v>
      </c>
      <c r="D784" t="s">
        <v>654</v>
      </c>
      <c r="E784" t="s">
        <v>746</v>
      </c>
      <c r="F784" s="6" t="s">
        <v>2128</v>
      </c>
      <c r="G784">
        <f>50000+11000+4500</f>
        <v>65500</v>
      </c>
      <c r="H784">
        <f>20000+20000+10000+25000</f>
        <v>75000</v>
      </c>
      <c r="I784">
        <f t="shared" ref="I784:I797" si="58">G784-H784</f>
        <v>-9500</v>
      </c>
      <c r="K784" t="s">
        <v>2235</v>
      </c>
    </row>
    <row r="785" spans="2:11" x14ac:dyDescent="0.3">
      <c r="B785">
        <v>6</v>
      </c>
      <c r="C785" t="s">
        <v>23</v>
      </c>
      <c r="D785" t="s">
        <v>2133</v>
      </c>
      <c r="F785" s="6" t="s">
        <v>2134</v>
      </c>
      <c r="G785">
        <f>45000+(1200*10)</f>
        <v>57000</v>
      </c>
      <c r="H785">
        <v>55000</v>
      </c>
      <c r="I785">
        <f t="shared" si="58"/>
        <v>2000</v>
      </c>
      <c r="K785" t="s">
        <v>2229</v>
      </c>
    </row>
    <row r="786" spans="2:11" x14ac:dyDescent="0.3">
      <c r="B786">
        <v>7</v>
      </c>
      <c r="C786" t="s">
        <v>2181</v>
      </c>
      <c r="D786" t="s">
        <v>2138</v>
      </c>
      <c r="E786" t="s">
        <v>12</v>
      </c>
      <c r="F786" s="6" t="s">
        <v>2113</v>
      </c>
      <c r="G786">
        <f>(15000*10)+(1200*12*10)</f>
        <v>294000</v>
      </c>
      <c r="H786">
        <f>200000+94000</f>
        <v>294000</v>
      </c>
      <c r="I786">
        <f t="shared" si="58"/>
        <v>0</v>
      </c>
      <c r="K786" t="s">
        <v>2163</v>
      </c>
    </row>
    <row r="787" spans="2:11" x14ac:dyDescent="0.3">
      <c r="B787">
        <v>8</v>
      </c>
      <c r="C787" t="s">
        <v>2137</v>
      </c>
      <c r="D787" t="s">
        <v>2138</v>
      </c>
      <c r="E787" t="s">
        <v>12</v>
      </c>
      <c r="F787" s="5" t="s">
        <v>2253</v>
      </c>
      <c r="G787">
        <v>40000</v>
      </c>
      <c r="H787">
        <v>40000</v>
      </c>
      <c r="I787">
        <f t="shared" si="58"/>
        <v>0</v>
      </c>
      <c r="K787" t="s">
        <v>2254</v>
      </c>
    </row>
    <row r="788" spans="2:11" x14ac:dyDescent="0.3">
      <c r="B788">
        <v>9</v>
      </c>
      <c r="C788" t="s">
        <v>2143</v>
      </c>
      <c r="D788" t="s">
        <v>249</v>
      </c>
      <c r="E788" t="s">
        <v>12</v>
      </c>
      <c r="F788" s="6" t="s">
        <v>2144</v>
      </c>
      <c r="G788">
        <v>40000</v>
      </c>
      <c r="H788">
        <v>40000</v>
      </c>
      <c r="I788">
        <f t="shared" si="58"/>
        <v>0</v>
      </c>
      <c r="K788" t="s">
        <v>2190</v>
      </c>
    </row>
    <row r="789" spans="2:11" x14ac:dyDescent="0.3">
      <c r="B789">
        <v>10</v>
      </c>
      <c r="C789" t="s">
        <v>2145</v>
      </c>
      <c r="D789" t="s">
        <v>2146</v>
      </c>
      <c r="E789" t="s">
        <v>746</v>
      </c>
      <c r="F789" s="6" t="s">
        <v>2147</v>
      </c>
      <c r="G789">
        <f>25000+12000</f>
        <v>37000</v>
      </c>
      <c r="H789">
        <f>20000+5000</f>
        <v>25000</v>
      </c>
      <c r="I789">
        <f t="shared" si="58"/>
        <v>12000</v>
      </c>
      <c r="K789" t="s">
        <v>2324</v>
      </c>
    </row>
    <row r="790" spans="2:11" x14ac:dyDescent="0.3">
      <c r="B790">
        <v>11</v>
      </c>
      <c r="C790" t="s">
        <v>2150</v>
      </c>
      <c r="D790" t="s">
        <v>340</v>
      </c>
      <c r="E790" t="s">
        <v>888</v>
      </c>
      <c r="F790" s="6" t="s">
        <v>2148</v>
      </c>
      <c r="G790">
        <f>1200*7</f>
        <v>8400</v>
      </c>
      <c r="H790">
        <v>8400</v>
      </c>
      <c r="I790">
        <f t="shared" si="58"/>
        <v>0</v>
      </c>
      <c r="K790" t="s">
        <v>2149</v>
      </c>
    </row>
    <row r="791" spans="2:11" x14ac:dyDescent="0.3">
      <c r="B791">
        <v>12</v>
      </c>
      <c r="C791" t="s">
        <v>2150</v>
      </c>
      <c r="D791" t="s">
        <v>340</v>
      </c>
      <c r="E791" t="s">
        <v>888</v>
      </c>
      <c r="F791" s="6" t="s">
        <v>2151</v>
      </c>
      <c r="G791">
        <f>(45000-13500)+7000</f>
        <v>38500</v>
      </c>
      <c r="H791">
        <v>0</v>
      </c>
      <c r="I791">
        <f t="shared" si="58"/>
        <v>38500</v>
      </c>
      <c r="K791" t="s">
        <v>2152</v>
      </c>
    </row>
    <row r="792" spans="2:11" x14ac:dyDescent="0.3">
      <c r="B792">
        <v>13</v>
      </c>
      <c r="C792" t="s">
        <v>2242</v>
      </c>
      <c r="D792" t="s">
        <v>340</v>
      </c>
      <c r="E792" t="s">
        <v>888</v>
      </c>
      <c r="F792" s="6" t="s">
        <v>2142</v>
      </c>
      <c r="G792">
        <f>(45000-13500)+5000</f>
        <v>36500</v>
      </c>
      <c r="I792">
        <f t="shared" si="58"/>
        <v>36500</v>
      </c>
      <c r="K792" t="s">
        <v>2243</v>
      </c>
    </row>
    <row r="793" spans="2:11" x14ac:dyDescent="0.3">
      <c r="B793">
        <v>14</v>
      </c>
      <c r="C793" t="s">
        <v>2245</v>
      </c>
      <c r="D793" t="s">
        <v>340</v>
      </c>
      <c r="E793" t="s">
        <v>888</v>
      </c>
      <c r="F793" s="6" t="s">
        <v>2142</v>
      </c>
      <c r="G793">
        <f>1200*5</f>
        <v>6000</v>
      </c>
      <c r="I793">
        <f t="shared" si="58"/>
        <v>6000</v>
      </c>
      <c r="K793" t="s">
        <v>2244</v>
      </c>
    </row>
    <row r="794" spans="2:11" x14ac:dyDescent="0.3">
      <c r="B794">
        <v>15</v>
      </c>
      <c r="C794" t="s">
        <v>2155</v>
      </c>
      <c r="D794" t="s">
        <v>164</v>
      </c>
      <c r="E794" t="s">
        <v>60</v>
      </c>
      <c r="F794" s="6" t="s">
        <v>2154</v>
      </c>
      <c r="G794">
        <v>6000</v>
      </c>
      <c r="H794">
        <v>6000</v>
      </c>
      <c r="I794">
        <f t="shared" si="58"/>
        <v>0</v>
      </c>
      <c r="K794" t="s">
        <v>2191</v>
      </c>
    </row>
    <row r="795" spans="2:11" x14ac:dyDescent="0.3">
      <c r="B795">
        <v>16</v>
      </c>
      <c r="C795" t="s">
        <v>2156</v>
      </c>
      <c r="D795" t="s">
        <v>1460</v>
      </c>
      <c r="E795" t="s">
        <v>51</v>
      </c>
      <c r="F795" s="6" t="s">
        <v>2154</v>
      </c>
      <c r="H795">
        <v>5000</v>
      </c>
      <c r="I795">
        <f t="shared" si="58"/>
        <v>-5000</v>
      </c>
      <c r="K795" t="s">
        <v>2161</v>
      </c>
    </row>
    <row r="796" spans="2:11" x14ac:dyDescent="0.3">
      <c r="B796">
        <v>17</v>
      </c>
      <c r="C796" t="s">
        <v>1052</v>
      </c>
      <c r="D796" t="s">
        <v>24</v>
      </c>
      <c r="E796" t="s">
        <v>762</v>
      </c>
      <c r="F796" s="6" t="s">
        <v>2157</v>
      </c>
      <c r="G796">
        <v>45000</v>
      </c>
      <c r="H796">
        <v>45000</v>
      </c>
      <c r="I796">
        <f t="shared" si="58"/>
        <v>0</v>
      </c>
      <c r="K796" t="s">
        <v>2176</v>
      </c>
    </row>
    <row r="797" spans="2:11" x14ac:dyDescent="0.3">
      <c r="B797">
        <v>18</v>
      </c>
      <c r="C797" t="s">
        <v>17</v>
      </c>
      <c r="D797" t="s">
        <v>26</v>
      </c>
      <c r="E797" t="s">
        <v>51</v>
      </c>
      <c r="F797" s="6" t="s">
        <v>2157</v>
      </c>
      <c r="G797">
        <f>25000+3000</f>
        <v>28000</v>
      </c>
      <c r="H797">
        <v>28000</v>
      </c>
      <c r="I797">
        <f t="shared" si="58"/>
        <v>0</v>
      </c>
      <c r="K797" t="s">
        <v>2158</v>
      </c>
    </row>
    <row r="798" spans="2:11" x14ac:dyDescent="0.3">
      <c r="E798" s="120" t="s">
        <v>2209</v>
      </c>
      <c r="F798" s="121"/>
      <c r="G798" s="121"/>
      <c r="H798" s="49">
        <f>SUM(H780:H797)</f>
        <v>770500</v>
      </c>
    </row>
    <row r="800" spans="2:11" x14ac:dyDescent="0.3">
      <c r="B800">
        <v>1</v>
      </c>
      <c r="C800" t="s">
        <v>2166</v>
      </c>
      <c r="D800" t="s">
        <v>2167</v>
      </c>
      <c r="E800" t="s">
        <v>51</v>
      </c>
      <c r="F800" s="6" t="s">
        <v>2168</v>
      </c>
      <c r="G800">
        <f>100000+12000+18000</f>
        <v>130000</v>
      </c>
      <c r="H800">
        <f>50000+40000+30000</f>
        <v>120000</v>
      </c>
      <c r="I800">
        <f t="shared" ref="I800:I802" si="59">G800-H800</f>
        <v>10000</v>
      </c>
      <c r="K800" t="s">
        <v>2395</v>
      </c>
    </row>
    <row r="801" spans="2:11" x14ac:dyDescent="0.3">
      <c r="B801">
        <v>2</v>
      </c>
      <c r="C801" t="s">
        <v>2171</v>
      </c>
      <c r="D801" t="s">
        <v>1539</v>
      </c>
      <c r="E801" t="s">
        <v>143</v>
      </c>
      <c r="F801" s="6" t="s">
        <v>2172</v>
      </c>
      <c r="G801">
        <f>6000+6000</f>
        <v>12000</v>
      </c>
      <c r="H801">
        <v>12000</v>
      </c>
      <c r="I801">
        <f t="shared" si="59"/>
        <v>0</v>
      </c>
      <c r="K801" t="s">
        <v>2175</v>
      </c>
    </row>
    <row r="802" spans="2:11" x14ac:dyDescent="0.3">
      <c r="B802">
        <v>3</v>
      </c>
      <c r="C802" t="s">
        <v>2177</v>
      </c>
      <c r="D802" t="s">
        <v>26</v>
      </c>
      <c r="E802" t="s">
        <v>51</v>
      </c>
      <c r="F802" s="6" t="s">
        <v>2178</v>
      </c>
      <c r="G802">
        <f>25000+12000</f>
        <v>37000</v>
      </c>
      <c r="H802">
        <f>25000+12000</f>
        <v>37000</v>
      </c>
      <c r="I802">
        <f t="shared" si="59"/>
        <v>0</v>
      </c>
      <c r="K802" t="s">
        <v>2215</v>
      </c>
    </row>
    <row r="803" spans="2:11" x14ac:dyDescent="0.3">
      <c r="B803">
        <v>4</v>
      </c>
      <c r="C803" t="s">
        <v>2236</v>
      </c>
      <c r="D803" t="s">
        <v>2179</v>
      </c>
      <c r="E803" t="s">
        <v>888</v>
      </c>
      <c r="F803" s="6" t="s">
        <v>1845</v>
      </c>
      <c r="G803">
        <f>1200*9*6</f>
        <v>64800</v>
      </c>
      <c r="H803">
        <f>1200*9*6</f>
        <v>64800</v>
      </c>
      <c r="K803" t="s">
        <v>2180</v>
      </c>
    </row>
    <row r="804" spans="2:11" x14ac:dyDescent="0.3">
      <c r="B804">
        <v>5</v>
      </c>
      <c r="C804" t="s">
        <v>2137</v>
      </c>
      <c r="D804" t="s">
        <v>2138</v>
      </c>
      <c r="E804" t="s">
        <v>12</v>
      </c>
      <c r="F804" s="6" t="s">
        <v>2113</v>
      </c>
      <c r="G804">
        <v>430000</v>
      </c>
      <c r="H804">
        <f>100000+100000+130000+100000</f>
        <v>430000</v>
      </c>
      <c r="I804">
        <f t="shared" ref="I804:I806" si="60">G804-H804</f>
        <v>0</v>
      </c>
      <c r="K804" t="s">
        <v>2272</v>
      </c>
    </row>
    <row r="805" spans="2:11" x14ac:dyDescent="0.3">
      <c r="B805">
        <v>6</v>
      </c>
      <c r="C805" t="s">
        <v>1403</v>
      </c>
      <c r="D805" t="s">
        <v>1086</v>
      </c>
      <c r="E805" t="s">
        <v>746</v>
      </c>
      <c r="F805" s="6" t="s">
        <v>2185</v>
      </c>
      <c r="G805">
        <v>1500</v>
      </c>
      <c r="H805">
        <v>1500</v>
      </c>
      <c r="I805">
        <f t="shared" si="60"/>
        <v>0</v>
      </c>
      <c r="K805" t="s">
        <v>2237</v>
      </c>
    </row>
    <row r="806" spans="2:11" x14ac:dyDescent="0.3">
      <c r="B806">
        <v>7</v>
      </c>
      <c r="C806" t="s">
        <v>2208</v>
      </c>
      <c r="D806" t="s">
        <v>2213</v>
      </c>
      <c r="E806" t="s">
        <v>46</v>
      </c>
      <c r="F806" s="6" t="s">
        <v>2206</v>
      </c>
      <c r="G806">
        <v>12000</v>
      </c>
      <c r="H806">
        <v>12000</v>
      </c>
      <c r="I806">
        <f t="shared" si="60"/>
        <v>0</v>
      </c>
      <c r="K806" t="s">
        <v>2228</v>
      </c>
    </row>
    <row r="807" spans="2:11" x14ac:dyDescent="0.3">
      <c r="E807" s="120" t="s">
        <v>2261</v>
      </c>
      <c r="F807" s="121"/>
      <c r="G807" s="121"/>
      <c r="H807" s="49">
        <f>SUM(H800:H806)</f>
        <v>677300</v>
      </c>
    </row>
    <row r="809" spans="2:11" x14ac:dyDescent="0.3">
      <c r="B809">
        <v>1</v>
      </c>
      <c r="C809" t="s">
        <v>2210</v>
      </c>
      <c r="D809" t="s">
        <v>2211</v>
      </c>
      <c r="E809" t="s">
        <v>22</v>
      </c>
      <c r="F809" s="6" t="s">
        <v>2212</v>
      </c>
      <c r="G809">
        <f>30000+12000</f>
        <v>42000</v>
      </c>
      <c r="H809">
        <f>30000+6000+6000</f>
        <v>42000</v>
      </c>
      <c r="I809">
        <f t="shared" ref="I809:I820" si="61">G809-H809</f>
        <v>0</v>
      </c>
      <c r="K809" t="s">
        <v>2359</v>
      </c>
    </row>
    <row r="810" spans="2:11" x14ac:dyDescent="0.3">
      <c r="B810">
        <v>2</v>
      </c>
      <c r="C810" t="s">
        <v>1094</v>
      </c>
      <c r="D810" t="s">
        <v>2216</v>
      </c>
      <c r="E810" t="s">
        <v>245</v>
      </c>
      <c r="F810" s="6" t="s">
        <v>2217</v>
      </c>
      <c r="G810">
        <f>14400+12000</f>
        <v>26400</v>
      </c>
      <c r="H810">
        <v>26400</v>
      </c>
      <c r="I810">
        <f t="shared" si="61"/>
        <v>0</v>
      </c>
      <c r="K810" t="s">
        <v>2218</v>
      </c>
    </row>
    <row r="811" spans="2:11" x14ac:dyDescent="0.3">
      <c r="B811">
        <v>3</v>
      </c>
      <c r="C811" t="s">
        <v>220</v>
      </c>
      <c r="D811" t="s">
        <v>811</v>
      </c>
      <c r="E811" t="s">
        <v>51</v>
      </c>
      <c r="F811" s="6" t="s">
        <v>2219</v>
      </c>
      <c r="G811">
        <f>24000+3000</f>
        <v>27000</v>
      </c>
      <c r="H811">
        <v>27000</v>
      </c>
      <c r="I811">
        <f t="shared" si="61"/>
        <v>0</v>
      </c>
      <c r="K811" t="s">
        <v>2221</v>
      </c>
    </row>
    <row r="812" spans="2:11" x14ac:dyDescent="0.3">
      <c r="B812">
        <v>4</v>
      </c>
      <c r="C812" t="s">
        <v>1541</v>
      </c>
      <c r="D812" t="s">
        <v>2222</v>
      </c>
      <c r="E812" t="s">
        <v>46</v>
      </c>
      <c r="F812" s="6" t="s">
        <v>2223</v>
      </c>
      <c r="G812">
        <v>12000</v>
      </c>
      <c r="H812">
        <v>12000</v>
      </c>
      <c r="I812">
        <f t="shared" si="61"/>
        <v>0</v>
      </c>
      <c r="K812" t="s">
        <v>2224</v>
      </c>
    </row>
    <row r="813" spans="2:11" x14ac:dyDescent="0.3">
      <c r="B813">
        <v>5</v>
      </c>
      <c r="C813" t="s">
        <v>1637</v>
      </c>
      <c r="D813" t="s">
        <v>123</v>
      </c>
      <c r="E813" t="s">
        <v>46</v>
      </c>
      <c r="F813" s="6" t="s">
        <v>2223</v>
      </c>
      <c r="G813">
        <v>12000</v>
      </c>
      <c r="H813">
        <v>5000</v>
      </c>
      <c r="I813">
        <f t="shared" si="61"/>
        <v>7000</v>
      </c>
      <c r="K813" t="s">
        <v>2227</v>
      </c>
    </row>
    <row r="814" spans="2:11" x14ac:dyDescent="0.3">
      <c r="B814">
        <v>6</v>
      </c>
      <c r="C814" t="s">
        <v>2238</v>
      </c>
      <c r="D814" t="s">
        <v>1460</v>
      </c>
      <c r="E814" t="s">
        <v>2239</v>
      </c>
      <c r="F814" s="6" t="s">
        <v>2240</v>
      </c>
      <c r="G814">
        <f>40000+12000+16800</f>
        <v>68800</v>
      </c>
      <c r="H814">
        <v>68800</v>
      </c>
      <c r="I814">
        <f t="shared" si="61"/>
        <v>0</v>
      </c>
      <c r="K814" t="s">
        <v>2241</v>
      </c>
    </row>
    <row r="815" spans="2:11" x14ac:dyDescent="0.3">
      <c r="B815">
        <v>7</v>
      </c>
      <c r="C815" t="s">
        <v>2246</v>
      </c>
      <c r="D815" t="s">
        <v>2247</v>
      </c>
      <c r="E815" t="s">
        <v>12</v>
      </c>
      <c r="F815" s="6" t="s">
        <v>2250</v>
      </c>
      <c r="G815">
        <v>5500</v>
      </c>
      <c r="H815">
        <v>5500</v>
      </c>
      <c r="I815">
        <f t="shared" si="61"/>
        <v>0</v>
      </c>
      <c r="K815" t="s">
        <v>2248</v>
      </c>
    </row>
    <row r="816" spans="2:11" x14ac:dyDescent="0.3">
      <c r="B816">
        <v>8</v>
      </c>
      <c r="C816" t="s">
        <v>2249</v>
      </c>
      <c r="D816" t="s">
        <v>18</v>
      </c>
      <c r="E816" t="s">
        <v>12</v>
      </c>
      <c r="F816" s="6" t="s">
        <v>2240</v>
      </c>
      <c r="G816">
        <v>15000</v>
      </c>
      <c r="H816">
        <v>15000</v>
      </c>
      <c r="I816">
        <f t="shared" si="61"/>
        <v>0</v>
      </c>
      <c r="K816" t="s">
        <v>2295</v>
      </c>
    </row>
    <row r="817" spans="2:11" x14ac:dyDescent="0.3">
      <c r="B817">
        <v>9</v>
      </c>
      <c r="C817" t="s">
        <v>2251</v>
      </c>
      <c r="D817" t="s">
        <v>2252</v>
      </c>
      <c r="E817" t="s">
        <v>12</v>
      </c>
      <c r="F817" s="6" t="s">
        <v>2253</v>
      </c>
      <c r="G817">
        <f>14400+15000+30000+12000</f>
        <v>71400</v>
      </c>
      <c r="H817">
        <f>30000+30000+10000</f>
        <v>70000</v>
      </c>
      <c r="I817">
        <f t="shared" si="61"/>
        <v>1400</v>
      </c>
      <c r="K817" t="s">
        <v>2819</v>
      </c>
    </row>
    <row r="818" spans="2:11" x14ac:dyDescent="0.3">
      <c r="B818">
        <v>10</v>
      </c>
      <c r="C818" t="s">
        <v>243</v>
      </c>
      <c r="D818" t="s">
        <v>26</v>
      </c>
      <c r="E818" t="s">
        <v>12</v>
      </c>
      <c r="F818" s="6" t="s">
        <v>2255</v>
      </c>
      <c r="G818">
        <f>12000+14400</f>
        <v>26400</v>
      </c>
      <c r="H818">
        <v>26400</v>
      </c>
      <c r="I818">
        <f t="shared" si="61"/>
        <v>0</v>
      </c>
      <c r="K818" t="s">
        <v>2256</v>
      </c>
    </row>
    <row r="819" spans="2:11" x14ac:dyDescent="0.3">
      <c r="B819">
        <v>11</v>
      </c>
      <c r="C819" t="s">
        <v>2259</v>
      </c>
      <c r="E819" t="s">
        <v>51</v>
      </c>
      <c r="F819" s="6" t="s">
        <v>2255</v>
      </c>
      <c r="G819">
        <v>4500</v>
      </c>
      <c r="H819">
        <v>4500</v>
      </c>
      <c r="I819">
        <f t="shared" si="61"/>
        <v>0</v>
      </c>
      <c r="K819" t="s">
        <v>2260</v>
      </c>
    </row>
    <row r="820" spans="2:11" x14ac:dyDescent="0.3">
      <c r="B820">
        <v>12</v>
      </c>
      <c r="C820" t="s">
        <v>1515</v>
      </c>
      <c r="D820" t="s">
        <v>654</v>
      </c>
      <c r="E820" t="s">
        <v>710</v>
      </c>
      <c r="F820" s="6" t="s">
        <v>2139</v>
      </c>
      <c r="G820">
        <f>1500*14*3</f>
        <v>63000</v>
      </c>
      <c r="H820">
        <f>25000+30000+8000</f>
        <v>63000</v>
      </c>
      <c r="I820">
        <f t="shared" si="61"/>
        <v>0</v>
      </c>
      <c r="K820" t="s">
        <v>2271</v>
      </c>
    </row>
    <row r="821" spans="2:11" x14ac:dyDescent="0.3">
      <c r="E821" s="120" t="s">
        <v>2304</v>
      </c>
      <c r="F821" s="121"/>
      <c r="G821" s="121"/>
      <c r="H821" s="49">
        <f>SUM(H809:H820)</f>
        <v>365600</v>
      </c>
    </row>
    <row r="823" spans="2:11" x14ac:dyDescent="0.3">
      <c r="B823">
        <v>1</v>
      </c>
    </row>
    <row r="824" spans="2:11" x14ac:dyDescent="0.3">
      <c r="B824">
        <v>2</v>
      </c>
      <c r="C824" t="s">
        <v>2268</v>
      </c>
      <c r="D824" t="s">
        <v>2269</v>
      </c>
      <c r="E824" t="s">
        <v>339</v>
      </c>
      <c r="F824" s="47" t="s">
        <v>2270</v>
      </c>
      <c r="G824">
        <f>(111400*3)-4200</f>
        <v>330000</v>
      </c>
      <c r="H824">
        <f>50000+100000+180000</f>
        <v>330000</v>
      </c>
      <c r="I824">
        <f t="shared" ref="I824:I827" si="62">G824-H824</f>
        <v>0</v>
      </c>
      <c r="K824" t="s">
        <v>2298</v>
      </c>
    </row>
    <row r="825" spans="2:11" x14ac:dyDescent="0.3">
      <c r="B825">
        <v>3</v>
      </c>
      <c r="C825" t="s">
        <v>1583</v>
      </c>
      <c r="D825" t="s">
        <v>1164</v>
      </c>
      <c r="E825" t="s">
        <v>1253</v>
      </c>
      <c r="F825" s="6" t="s">
        <v>2281</v>
      </c>
      <c r="G825">
        <v>12000</v>
      </c>
      <c r="H825">
        <v>12000</v>
      </c>
      <c r="I825">
        <f t="shared" si="62"/>
        <v>0</v>
      </c>
      <c r="K825" t="s">
        <v>2300</v>
      </c>
    </row>
    <row r="826" spans="2:11" x14ac:dyDescent="0.3">
      <c r="B826">
        <v>4</v>
      </c>
      <c r="C826" t="s">
        <v>1623</v>
      </c>
      <c r="D826" t="s">
        <v>18</v>
      </c>
      <c r="E826" t="s">
        <v>12</v>
      </c>
      <c r="F826" s="6" t="s">
        <v>1624</v>
      </c>
      <c r="G826">
        <f>1400*12</f>
        <v>16800</v>
      </c>
      <c r="H826">
        <v>16800</v>
      </c>
      <c r="I826">
        <f t="shared" si="62"/>
        <v>0</v>
      </c>
      <c r="K826" t="s">
        <v>2301</v>
      </c>
    </row>
    <row r="827" spans="2:11" x14ac:dyDescent="0.3">
      <c r="B827">
        <v>5</v>
      </c>
      <c r="C827" t="s">
        <v>360</v>
      </c>
      <c r="D827" t="s">
        <v>18</v>
      </c>
      <c r="E827" t="s">
        <v>12</v>
      </c>
      <c r="F827" s="6" t="s">
        <v>1624</v>
      </c>
      <c r="G827">
        <f>1400*12</f>
        <v>16800</v>
      </c>
      <c r="H827">
        <v>16800</v>
      </c>
      <c r="I827">
        <f t="shared" si="62"/>
        <v>0</v>
      </c>
      <c r="K827" t="s">
        <v>2301</v>
      </c>
    </row>
    <row r="828" spans="2:11" x14ac:dyDescent="0.3">
      <c r="E828" s="120" t="s">
        <v>2303</v>
      </c>
      <c r="F828" s="121"/>
      <c r="G828" s="121"/>
      <c r="H828" s="49">
        <f>SUM(H824:H827)</f>
        <v>375600</v>
      </c>
    </row>
    <row r="830" spans="2:11" x14ac:dyDescent="0.3">
      <c r="B830">
        <v>1</v>
      </c>
      <c r="C830" t="s">
        <v>1628</v>
      </c>
      <c r="D830" t="s">
        <v>926</v>
      </c>
      <c r="E830" t="s">
        <v>46</v>
      </c>
      <c r="F830" s="6" t="s">
        <v>2282</v>
      </c>
      <c r="G830">
        <v>15000</v>
      </c>
      <c r="H830">
        <v>15000</v>
      </c>
      <c r="I830">
        <f t="shared" ref="I830:I839" si="63">G830-H830</f>
        <v>0</v>
      </c>
      <c r="K830" t="s">
        <v>2283</v>
      </c>
    </row>
    <row r="831" spans="2:11" x14ac:dyDescent="0.3">
      <c r="B831">
        <v>2</v>
      </c>
      <c r="C831" t="s">
        <v>1454</v>
      </c>
      <c r="D831" t="s">
        <v>1354</v>
      </c>
      <c r="E831" t="s">
        <v>39</v>
      </c>
      <c r="F831" s="6" t="s">
        <v>2284</v>
      </c>
      <c r="G831">
        <v>4000</v>
      </c>
      <c r="H831">
        <v>4000</v>
      </c>
      <c r="I831">
        <f t="shared" si="63"/>
        <v>0</v>
      </c>
      <c r="K831" t="s">
        <v>2285</v>
      </c>
    </row>
    <row r="832" spans="2:11" x14ac:dyDescent="0.3">
      <c r="B832">
        <v>3</v>
      </c>
      <c r="C832" t="s">
        <v>2287</v>
      </c>
      <c r="D832" t="s">
        <v>2288</v>
      </c>
      <c r="E832" t="s">
        <v>12</v>
      </c>
      <c r="F832" s="6" t="s">
        <v>2289</v>
      </c>
      <c r="G832">
        <f>16200+15000+12000+16800</f>
        <v>60000</v>
      </c>
      <c r="H832">
        <f>7000+18000+5000+30000</f>
        <v>60000</v>
      </c>
      <c r="I832">
        <f t="shared" si="63"/>
        <v>0</v>
      </c>
      <c r="K832" t="s">
        <v>2491</v>
      </c>
    </row>
    <row r="833" spans="2:11" x14ac:dyDescent="0.3">
      <c r="B833">
        <v>4</v>
      </c>
      <c r="C833" t="s">
        <v>886</v>
      </c>
      <c r="D833" t="s">
        <v>1528</v>
      </c>
      <c r="E833" t="s">
        <v>888</v>
      </c>
      <c r="F833" s="6" t="s">
        <v>2290</v>
      </c>
      <c r="G833">
        <v>45000</v>
      </c>
      <c r="H833">
        <v>45000</v>
      </c>
      <c r="I833">
        <f t="shared" si="63"/>
        <v>0</v>
      </c>
      <c r="K833" t="s">
        <v>2299</v>
      </c>
    </row>
    <row r="834" spans="2:11" x14ac:dyDescent="0.3">
      <c r="B834">
        <v>5</v>
      </c>
      <c r="C834" t="s">
        <v>2291</v>
      </c>
      <c r="D834" t="s">
        <v>2292</v>
      </c>
      <c r="E834" t="s">
        <v>2293</v>
      </c>
      <c r="F834" s="6" t="s">
        <v>2294</v>
      </c>
      <c r="G834">
        <f>30000+12000</f>
        <v>42000</v>
      </c>
      <c r="H834">
        <f>30000+12000</f>
        <v>42000</v>
      </c>
      <c r="I834">
        <f t="shared" si="63"/>
        <v>0</v>
      </c>
      <c r="K834" t="s">
        <v>2392</v>
      </c>
    </row>
    <row r="835" spans="2:11" x14ac:dyDescent="0.3">
      <c r="B835">
        <v>6</v>
      </c>
      <c r="C835" t="s">
        <v>695</v>
      </c>
      <c r="D835" t="s">
        <v>1202</v>
      </c>
      <c r="E835" t="s">
        <v>12</v>
      </c>
      <c r="F835" s="6" t="s">
        <v>2305</v>
      </c>
      <c r="G835">
        <v>18000</v>
      </c>
      <c r="H835">
        <v>18000</v>
      </c>
      <c r="I835">
        <f t="shared" si="63"/>
        <v>0</v>
      </c>
      <c r="K835" t="s">
        <v>2306</v>
      </c>
    </row>
    <row r="836" spans="2:11" x14ac:dyDescent="0.3">
      <c r="B836">
        <v>7</v>
      </c>
      <c r="C836" t="s">
        <v>1369</v>
      </c>
      <c r="D836" t="s">
        <v>1245</v>
      </c>
      <c r="E836" t="s">
        <v>46</v>
      </c>
      <c r="F836" s="6" t="s">
        <v>2312</v>
      </c>
      <c r="G836">
        <v>6000</v>
      </c>
      <c r="H836">
        <v>6000</v>
      </c>
      <c r="I836">
        <f t="shared" si="63"/>
        <v>0</v>
      </c>
      <c r="K836" t="s">
        <v>2313</v>
      </c>
    </row>
    <row r="837" spans="2:11" x14ac:dyDescent="0.3">
      <c r="B837">
        <v>8</v>
      </c>
      <c r="C837" t="s">
        <v>23</v>
      </c>
      <c r="D837" t="s">
        <v>24</v>
      </c>
      <c r="E837" t="s">
        <v>12</v>
      </c>
      <c r="F837" s="6" t="s">
        <v>2318</v>
      </c>
      <c r="G837">
        <f>60000*3</f>
        <v>180000</v>
      </c>
      <c r="H837">
        <f>150000+30000</f>
        <v>180000</v>
      </c>
      <c r="I837">
        <f t="shared" si="63"/>
        <v>0</v>
      </c>
      <c r="K837" t="s">
        <v>2357</v>
      </c>
    </row>
    <row r="838" spans="2:11" x14ac:dyDescent="0.3">
      <c r="B838">
        <v>9</v>
      </c>
      <c r="C838" t="s">
        <v>622</v>
      </c>
      <c r="D838" t="s">
        <v>123</v>
      </c>
      <c r="E838" t="s">
        <v>12</v>
      </c>
      <c r="F838" s="6" t="s">
        <v>1976</v>
      </c>
      <c r="G838">
        <f>70000*3</f>
        <v>210000</v>
      </c>
      <c r="H838">
        <f>50000+50000+50000</f>
        <v>150000</v>
      </c>
      <c r="I838">
        <f t="shared" si="63"/>
        <v>60000</v>
      </c>
      <c r="K838" t="s">
        <v>2356</v>
      </c>
    </row>
    <row r="839" spans="2:11" x14ac:dyDescent="0.3">
      <c r="B839">
        <v>10</v>
      </c>
      <c r="C839" t="s">
        <v>1600</v>
      </c>
      <c r="D839" t="s">
        <v>26</v>
      </c>
      <c r="E839" t="s">
        <v>51</v>
      </c>
      <c r="F839" s="6" t="s">
        <v>2318</v>
      </c>
      <c r="G839">
        <v>12000</v>
      </c>
      <c r="H839">
        <v>12000</v>
      </c>
      <c r="I839">
        <f t="shared" si="63"/>
        <v>0</v>
      </c>
      <c r="K839" t="s">
        <v>2322</v>
      </c>
    </row>
    <row r="840" spans="2:11" x14ac:dyDescent="0.3">
      <c r="E840" s="120" t="s">
        <v>2323</v>
      </c>
      <c r="F840" s="121"/>
      <c r="G840" s="121"/>
      <c r="H840" s="49">
        <f>SUM(H830:H839)</f>
        <v>532000</v>
      </c>
    </row>
    <row r="842" spans="2:11" x14ac:dyDescent="0.3">
      <c r="B842">
        <v>1</v>
      </c>
      <c r="C842" t="s">
        <v>179</v>
      </c>
      <c r="D842" t="s">
        <v>1654</v>
      </c>
      <c r="E842" t="s">
        <v>2320</v>
      </c>
      <c r="F842" s="6" t="s">
        <v>2319</v>
      </c>
      <c r="G842">
        <v>6000</v>
      </c>
      <c r="H842">
        <v>6000</v>
      </c>
      <c r="I842">
        <f t="shared" ref="I842:I846" si="64">G842-H842</f>
        <v>0</v>
      </c>
      <c r="K842" t="s">
        <v>2332</v>
      </c>
    </row>
    <row r="843" spans="2:11" x14ac:dyDescent="0.3">
      <c r="B843">
        <v>2</v>
      </c>
      <c r="C843" t="s">
        <v>1998</v>
      </c>
      <c r="D843" t="s">
        <v>1180</v>
      </c>
      <c r="E843" t="s">
        <v>12</v>
      </c>
      <c r="F843" s="6" t="s">
        <v>2319</v>
      </c>
      <c r="G843">
        <v>6000</v>
      </c>
      <c r="H843">
        <f>3000+3000</f>
        <v>6000</v>
      </c>
      <c r="I843">
        <f t="shared" si="64"/>
        <v>0</v>
      </c>
      <c r="K843" t="s">
        <v>2349</v>
      </c>
    </row>
    <row r="844" spans="2:11" x14ac:dyDescent="0.3">
      <c r="B844">
        <v>3</v>
      </c>
      <c r="C844" t="s">
        <v>1833</v>
      </c>
      <c r="D844" t="s">
        <v>2325</v>
      </c>
      <c r="E844" t="s">
        <v>12</v>
      </c>
      <c r="F844" s="6" t="s">
        <v>2319</v>
      </c>
      <c r="G844">
        <v>6000</v>
      </c>
      <c r="H844">
        <v>6000</v>
      </c>
      <c r="I844">
        <f t="shared" si="64"/>
        <v>0</v>
      </c>
      <c r="K844" t="s">
        <v>2326</v>
      </c>
    </row>
    <row r="845" spans="2:11" x14ac:dyDescent="0.3">
      <c r="B845">
        <v>4</v>
      </c>
      <c r="C845" t="s">
        <v>2327</v>
      </c>
      <c r="D845" t="s">
        <v>1086</v>
      </c>
      <c r="E845" t="s">
        <v>1085</v>
      </c>
      <c r="F845" s="6" t="s">
        <v>2319</v>
      </c>
      <c r="G845">
        <v>6000</v>
      </c>
      <c r="H845">
        <v>6000</v>
      </c>
      <c r="I845">
        <f t="shared" si="64"/>
        <v>0</v>
      </c>
      <c r="K845" t="s">
        <v>2326</v>
      </c>
    </row>
    <row r="846" spans="2:11" x14ac:dyDescent="0.3">
      <c r="B846">
        <v>5</v>
      </c>
      <c r="C846" t="s">
        <v>2328</v>
      </c>
      <c r="D846" t="s">
        <v>654</v>
      </c>
      <c r="E846" t="s">
        <v>746</v>
      </c>
      <c r="F846" s="6" t="s">
        <v>2319</v>
      </c>
      <c r="G846">
        <v>70000</v>
      </c>
      <c r="H846">
        <v>70000</v>
      </c>
      <c r="I846">
        <f t="shared" si="64"/>
        <v>0</v>
      </c>
      <c r="K846" t="s">
        <v>2342</v>
      </c>
    </row>
    <row r="847" spans="2:11" x14ac:dyDescent="0.3">
      <c r="B847">
        <v>6</v>
      </c>
      <c r="C847" s="4" t="s">
        <v>1928</v>
      </c>
      <c r="D847" t="s">
        <v>192</v>
      </c>
      <c r="E847" t="s">
        <v>39</v>
      </c>
      <c r="F847" s="6" t="s">
        <v>2330</v>
      </c>
      <c r="G847">
        <f>7200+6000+1200</f>
        <v>14400</v>
      </c>
      <c r="H847">
        <v>12000</v>
      </c>
      <c r="I847">
        <f>G847-H847</f>
        <v>2400</v>
      </c>
      <c r="K847" t="s">
        <v>2534</v>
      </c>
    </row>
    <row r="848" spans="2:11" x14ac:dyDescent="0.3">
      <c r="B848">
        <v>7</v>
      </c>
      <c r="C848" t="s">
        <v>1211</v>
      </c>
      <c r="D848" t="s">
        <v>164</v>
      </c>
      <c r="E848" t="s">
        <v>51</v>
      </c>
      <c r="F848" s="6"/>
      <c r="G848">
        <f>12000+14400</f>
        <v>26400</v>
      </c>
      <c r="H848">
        <f>12000+14400</f>
        <v>26400</v>
      </c>
      <c r="I848">
        <f t="shared" ref="I848:I852" si="65">G848-H848</f>
        <v>0</v>
      </c>
      <c r="K848" t="s">
        <v>2362</v>
      </c>
    </row>
    <row r="849" spans="2:11" x14ac:dyDescent="0.3">
      <c r="B849">
        <v>8</v>
      </c>
      <c r="C849" t="s">
        <v>175</v>
      </c>
      <c r="E849" t="s">
        <v>46</v>
      </c>
      <c r="F849" s="6" t="s">
        <v>2333</v>
      </c>
      <c r="G849">
        <v>6000</v>
      </c>
      <c r="H849">
        <v>6000</v>
      </c>
      <c r="I849">
        <f t="shared" si="65"/>
        <v>0</v>
      </c>
      <c r="K849" t="s">
        <v>2334</v>
      </c>
    </row>
    <row r="850" spans="2:11" x14ac:dyDescent="0.3">
      <c r="B850">
        <v>9</v>
      </c>
      <c r="C850" t="s">
        <v>2340</v>
      </c>
      <c r="D850" t="s">
        <v>1539</v>
      </c>
      <c r="E850" t="s">
        <v>143</v>
      </c>
      <c r="F850" s="6" t="s">
        <v>2463</v>
      </c>
      <c r="G850">
        <f>15000+14400</f>
        <v>29400</v>
      </c>
      <c r="H850">
        <f>15000+14400</f>
        <v>29400</v>
      </c>
      <c r="I850">
        <f t="shared" si="65"/>
        <v>0</v>
      </c>
      <c r="K850" t="s">
        <v>2394</v>
      </c>
    </row>
    <row r="851" spans="2:11" x14ac:dyDescent="0.3">
      <c r="B851">
        <v>10</v>
      </c>
      <c r="C851" t="s">
        <v>2343</v>
      </c>
      <c r="D851" t="s">
        <v>2344</v>
      </c>
      <c r="E851" t="s">
        <v>2345</v>
      </c>
      <c r="F851" s="6" t="s">
        <v>2346</v>
      </c>
      <c r="G851">
        <f>25000+12000</f>
        <v>37000</v>
      </c>
      <c r="H851">
        <f>20000+15000</f>
        <v>35000</v>
      </c>
      <c r="I851">
        <f t="shared" si="65"/>
        <v>2000</v>
      </c>
      <c r="K851" t="s">
        <v>2361</v>
      </c>
    </row>
    <row r="852" spans="2:11" x14ac:dyDescent="0.3">
      <c r="B852">
        <v>11</v>
      </c>
      <c r="C852" t="s">
        <v>2351</v>
      </c>
      <c r="D852" t="s">
        <v>18</v>
      </c>
      <c r="E852" t="s">
        <v>12</v>
      </c>
      <c r="F852" s="6" t="s">
        <v>2319</v>
      </c>
      <c r="G852">
        <v>40000</v>
      </c>
      <c r="H852">
        <v>40000</v>
      </c>
      <c r="I852">
        <f t="shared" si="65"/>
        <v>0</v>
      </c>
      <c r="K852" t="s">
        <v>2352</v>
      </c>
    </row>
    <row r="853" spans="2:11" x14ac:dyDescent="0.3">
      <c r="B853">
        <v>13</v>
      </c>
      <c r="C853" t="s">
        <v>2365</v>
      </c>
      <c r="E853" t="s">
        <v>131</v>
      </c>
      <c r="F853" s="6"/>
      <c r="G853">
        <v>410000</v>
      </c>
      <c r="H853">
        <v>410000</v>
      </c>
      <c r="K853" t="s">
        <v>2381</v>
      </c>
    </row>
    <row r="854" spans="2:11" x14ac:dyDescent="0.3">
      <c r="B854">
        <v>14</v>
      </c>
      <c r="C854" t="s">
        <v>1505</v>
      </c>
      <c r="D854" t="s">
        <v>1354</v>
      </c>
      <c r="E854" t="s">
        <v>245</v>
      </c>
      <c r="F854" s="6" t="s">
        <v>1734</v>
      </c>
      <c r="G854">
        <f>6000+7200</f>
        <v>13200</v>
      </c>
      <c r="H854">
        <v>13200</v>
      </c>
      <c r="I854">
        <f t="shared" ref="I854:I855" si="66">G854-H854</f>
        <v>0</v>
      </c>
      <c r="K854" t="s">
        <v>1774</v>
      </c>
    </row>
    <row r="855" spans="2:11" x14ac:dyDescent="0.3">
      <c r="B855">
        <v>15</v>
      </c>
      <c r="C855" t="s">
        <v>1504</v>
      </c>
      <c r="D855" t="s">
        <v>1354</v>
      </c>
      <c r="E855" t="s">
        <v>245</v>
      </c>
      <c r="F855" s="6" t="s">
        <v>1734</v>
      </c>
      <c r="G855">
        <f>6000+7200</f>
        <v>13200</v>
      </c>
      <c r="H855">
        <v>13200</v>
      </c>
      <c r="I855">
        <f t="shared" si="66"/>
        <v>0</v>
      </c>
      <c r="K855" t="s">
        <v>1735</v>
      </c>
    </row>
    <row r="856" spans="2:11" x14ac:dyDescent="0.3">
      <c r="E856" s="120" t="s">
        <v>2360</v>
      </c>
      <c r="F856" s="120"/>
      <c r="G856" s="120"/>
      <c r="H856" s="49">
        <f>SUM(H842:H855)</f>
        <v>679200</v>
      </c>
    </row>
    <row r="857" spans="2:11" x14ac:dyDescent="0.3">
      <c r="B857">
        <v>1</v>
      </c>
      <c r="C857" t="s">
        <v>1515</v>
      </c>
      <c r="D857" t="s">
        <v>654</v>
      </c>
      <c r="E857" t="s">
        <v>746</v>
      </c>
      <c r="F857" s="47" t="s">
        <v>2363</v>
      </c>
      <c r="G857">
        <v>63000</v>
      </c>
      <c r="H857">
        <v>63000</v>
      </c>
      <c r="I857">
        <f t="shared" ref="I857:I876" si="67">G857-H857</f>
        <v>0</v>
      </c>
      <c r="K857" t="s">
        <v>2364</v>
      </c>
    </row>
    <row r="858" spans="2:11" x14ac:dyDescent="0.3">
      <c r="B858">
        <v>2</v>
      </c>
      <c r="C858" t="s">
        <v>2367</v>
      </c>
      <c r="D858" t="s">
        <v>654</v>
      </c>
      <c r="E858" t="s">
        <v>746</v>
      </c>
      <c r="F858" s="47" t="s">
        <v>2368</v>
      </c>
      <c r="G858">
        <v>70000</v>
      </c>
      <c r="H858">
        <f>25000+25000+20000</f>
        <v>70000</v>
      </c>
      <c r="I858">
        <f t="shared" si="67"/>
        <v>0</v>
      </c>
      <c r="K858" t="s">
        <v>2421</v>
      </c>
    </row>
    <row r="859" spans="2:11" x14ac:dyDescent="0.3">
      <c r="B859">
        <v>3</v>
      </c>
      <c r="C859" t="s">
        <v>248</v>
      </c>
      <c r="D859" t="s">
        <v>1729</v>
      </c>
      <c r="E859" t="s">
        <v>12</v>
      </c>
      <c r="F859" s="47" t="s">
        <v>2366</v>
      </c>
      <c r="G859">
        <v>24000</v>
      </c>
      <c r="H859">
        <v>24000</v>
      </c>
      <c r="I859">
        <f t="shared" si="67"/>
        <v>0</v>
      </c>
      <c r="K859" t="s">
        <v>2369</v>
      </c>
    </row>
    <row r="860" spans="2:11" x14ac:dyDescent="0.3">
      <c r="B860">
        <v>4</v>
      </c>
      <c r="C860" t="s">
        <v>2370</v>
      </c>
      <c r="D860" t="s">
        <v>2371</v>
      </c>
      <c r="E860" t="s">
        <v>746</v>
      </c>
      <c r="F860" s="47" t="s">
        <v>2372</v>
      </c>
      <c r="G860">
        <f>70000+50000+45000+15000+18000+18000-16000</f>
        <v>200000</v>
      </c>
      <c r="H860">
        <f>100000+50000+50000</f>
        <v>200000</v>
      </c>
      <c r="I860">
        <f t="shared" si="67"/>
        <v>0</v>
      </c>
      <c r="K860" t="s">
        <v>2393</v>
      </c>
    </row>
    <row r="861" spans="2:11" x14ac:dyDescent="0.3">
      <c r="B861">
        <v>5</v>
      </c>
      <c r="C861" t="s">
        <v>2377</v>
      </c>
      <c r="D861" t="s">
        <v>11</v>
      </c>
      <c r="E861" t="s">
        <v>12</v>
      </c>
      <c r="F861" s="47" t="s">
        <v>2378</v>
      </c>
      <c r="G861">
        <v>70000</v>
      </c>
      <c r="H861">
        <v>70000</v>
      </c>
      <c r="I861">
        <f t="shared" si="67"/>
        <v>0</v>
      </c>
      <c r="K861" t="s">
        <v>2379</v>
      </c>
    </row>
    <row r="862" spans="2:11" x14ac:dyDescent="0.3">
      <c r="B862">
        <v>6</v>
      </c>
      <c r="C862" t="s">
        <v>730</v>
      </c>
      <c r="D862" t="s">
        <v>730</v>
      </c>
      <c r="E862" t="s">
        <v>1209</v>
      </c>
      <c r="F862" s="6" t="s">
        <v>2382</v>
      </c>
      <c r="G862">
        <v>156075</v>
      </c>
      <c r="H862">
        <v>156075</v>
      </c>
      <c r="I862">
        <f t="shared" si="67"/>
        <v>0</v>
      </c>
      <c r="K862" t="s">
        <v>2383</v>
      </c>
    </row>
    <row r="863" spans="2:11" x14ac:dyDescent="0.3">
      <c r="E863" s="120" t="s">
        <v>2385</v>
      </c>
      <c r="F863" s="121"/>
      <c r="G863" s="121"/>
      <c r="H863" s="49">
        <f>SUM(H857:H862)</f>
        <v>583075</v>
      </c>
    </row>
    <row r="864" spans="2:11" x14ac:dyDescent="0.3">
      <c r="B864">
        <v>1</v>
      </c>
      <c r="C864" t="s">
        <v>1779</v>
      </c>
      <c r="D864" t="s">
        <v>684</v>
      </c>
      <c r="E864" t="s">
        <v>51</v>
      </c>
      <c r="F864" s="47" t="s">
        <v>2384</v>
      </c>
      <c r="G864">
        <f>12000+16800</f>
        <v>28800</v>
      </c>
      <c r="H864">
        <v>28800</v>
      </c>
      <c r="I864">
        <f t="shared" si="67"/>
        <v>0</v>
      </c>
      <c r="K864" t="s">
        <v>2390</v>
      </c>
    </row>
    <row r="865" spans="2:11" x14ac:dyDescent="0.3">
      <c r="B865">
        <v>2</v>
      </c>
      <c r="C865" t="s">
        <v>761</v>
      </c>
      <c r="D865" t="s">
        <v>24</v>
      </c>
      <c r="E865" t="s">
        <v>762</v>
      </c>
      <c r="F865" s="47" t="s">
        <v>2382</v>
      </c>
      <c r="G865">
        <v>45000</v>
      </c>
      <c r="H865">
        <v>45000</v>
      </c>
      <c r="I865">
        <f t="shared" si="67"/>
        <v>0</v>
      </c>
      <c r="K865" t="s">
        <v>2386</v>
      </c>
    </row>
    <row r="866" spans="2:11" x14ac:dyDescent="0.3">
      <c r="B866">
        <v>3</v>
      </c>
      <c r="C866" t="s">
        <v>2447</v>
      </c>
      <c r="D866" t="s">
        <v>1278</v>
      </c>
      <c r="E866" t="s">
        <v>12</v>
      </c>
      <c r="F866" s="47" t="s">
        <v>2384</v>
      </c>
      <c r="G866">
        <f>60000-6000</f>
        <v>54000</v>
      </c>
      <c r="H866">
        <f>30000+18000+6000</f>
        <v>54000</v>
      </c>
      <c r="I866">
        <f t="shared" si="67"/>
        <v>0</v>
      </c>
      <c r="K866" t="s">
        <v>2414</v>
      </c>
    </row>
    <row r="867" spans="2:11" x14ac:dyDescent="0.3">
      <c r="B867">
        <v>4</v>
      </c>
      <c r="C867" t="s">
        <v>473</v>
      </c>
      <c r="D867" t="s">
        <v>119</v>
      </c>
      <c r="E867" t="s">
        <v>7</v>
      </c>
      <c r="F867" s="47" t="s">
        <v>2387</v>
      </c>
      <c r="G867">
        <v>6000</v>
      </c>
      <c r="H867">
        <v>6000</v>
      </c>
      <c r="I867">
        <f t="shared" si="67"/>
        <v>0</v>
      </c>
      <c r="K867" t="s">
        <v>2388</v>
      </c>
    </row>
    <row r="868" spans="2:11" x14ac:dyDescent="0.3">
      <c r="B868">
        <v>5</v>
      </c>
      <c r="C868" t="s">
        <v>2401</v>
      </c>
      <c r="D868" t="s">
        <v>2179</v>
      </c>
      <c r="E868" t="s">
        <v>888</v>
      </c>
      <c r="F868" s="47" t="s">
        <v>2402</v>
      </c>
      <c r="G868">
        <v>72000</v>
      </c>
      <c r="H868">
        <v>72000</v>
      </c>
      <c r="I868">
        <f t="shared" si="67"/>
        <v>0</v>
      </c>
      <c r="K868" t="s">
        <v>2719</v>
      </c>
    </row>
    <row r="869" spans="2:11" x14ac:dyDescent="0.3">
      <c r="B869">
        <v>6</v>
      </c>
      <c r="C869" t="s">
        <v>2404</v>
      </c>
      <c r="D869" t="s">
        <v>2405</v>
      </c>
      <c r="E869" t="s">
        <v>131</v>
      </c>
      <c r="F869" s="47" t="s">
        <v>2406</v>
      </c>
      <c r="G869">
        <f>30000+12000</f>
        <v>42000</v>
      </c>
      <c r="H869">
        <v>42000</v>
      </c>
      <c r="I869">
        <f t="shared" si="67"/>
        <v>0</v>
      </c>
      <c r="K869" t="s">
        <v>2407</v>
      </c>
    </row>
    <row r="870" spans="2:11" x14ac:dyDescent="0.3">
      <c r="B870">
        <v>7</v>
      </c>
      <c r="C870" t="s">
        <v>2408</v>
      </c>
      <c r="D870" t="s">
        <v>164</v>
      </c>
      <c r="E870" t="s">
        <v>2320</v>
      </c>
      <c r="F870" s="47" t="s">
        <v>2409</v>
      </c>
      <c r="G870">
        <f>8000+6000</f>
        <v>14000</v>
      </c>
      <c r="H870">
        <f>8000+6000</f>
        <v>14000</v>
      </c>
      <c r="I870">
        <f t="shared" si="67"/>
        <v>0</v>
      </c>
      <c r="K870" t="s">
        <v>2446</v>
      </c>
    </row>
    <row r="871" spans="2:11" x14ac:dyDescent="0.3">
      <c r="B871">
        <v>8</v>
      </c>
      <c r="C871" t="s">
        <v>1786</v>
      </c>
      <c r="D871" t="s">
        <v>1787</v>
      </c>
      <c r="E871" t="s">
        <v>51</v>
      </c>
      <c r="F871" s="6" t="s">
        <v>2409</v>
      </c>
      <c r="G871">
        <v>12000</v>
      </c>
      <c r="H871">
        <v>12000</v>
      </c>
      <c r="I871">
        <f t="shared" si="67"/>
        <v>0</v>
      </c>
      <c r="K871" t="s">
        <v>2413</v>
      </c>
    </row>
    <row r="872" spans="2:11" x14ac:dyDescent="0.3">
      <c r="B872">
        <v>9</v>
      </c>
      <c r="C872" t="s">
        <v>1903</v>
      </c>
      <c r="D872" t="s">
        <v>1284</v>
      </c>
      <c r="E872" t="s">
        <v>12</v>
      </c>
      <c r="F872" s="6" t="s">
        <v>2409</v>
      </c>
      <c r="G872">
        <v>18000</v>
      </c>
      <c r="H872">
        <f>13000+5000</f>
        <v>18000</v>
      </c>
      <c r="I872">
        <f t="shared" si="67"/>
        <v>0</v>
      </c>
      <c r="K872" t="s">
        <v>2410</v>
      </c>
    </row>
    <row r="873" spans="2:11" x14ac:dyDescent="0.3">
      <c r="B873">
        <v>10</v>
      </c>
      <c r="C873" t="s">
        <v>1627</v>
      </c>
      <c r="D873" t="s">
        <v>126</v>
      </c>
      <c r="E873" t="s">
        <v>39</v>
      </c>
      <c r="F873" s="6" t="s">
        <v>2415</v>
      </c>
      <c r="G873">
        <v>9000</v>
      </c>
      <c r="H873">
        <v>9000</v>
      </c>
      <c r="I873">
        <f t="shared" si="67"/>
        <v>0</v>
      </c>
      <c r="K873" t="s">
        <v>2430</v>
      </c>
    </row>
    <row r="874" spans="2:11" x14ac:dyDescent="0.3">
      <c r="B874">
        <v>11</v>
      </c>
      <c r="C874" t="s">
        <v>2416</v>
      </c>
      <c r="D874" t="s">
        <v>649</v>
      </c>
      <c r="E874" t="s">
        <v>2416</v>
      </c>
      <c r="F874" s="6" t="s">
        <v>2415</v>
      </c>
      <c r="G874">
        <v>15000</v>
      </c>
      <c r="H874">
        <v>15000</v>
      </c>
      <c r="I874">
        <f t="shared" si="67"/>
        <v>0</v>
      </c>
      <c r="K874" t="s">
        <v>2417</v>
      </c>
    </row>
    <row r="875" spans="2:11" x14ac:dyDescent="0.3">
      <c r="B875">
        <v>12</v>
      </c>
      <c r="C875" t="s">
        <v>2418</v>
      </c>
      <c r="D875" t="s">
        <v>1406</v>
      </c>
      <c r="E875" t="s">
        <v>131</v>
      </c>
      <c r="F875" s="6" t="s">
        <v>2415</v>
      </c>
      <c r="G875">
        <v>12000</v>
      </c>
      <c r="H875">
        <v>12000</v>
      </c>
      <c r="I875">
        <f t="shared" si="67"/>
        <v>0</v>
      </c>
      <c r="K875" t="s">
        <v>2488</v>
      </c>
    </row>
    <row r="876" spans="2:11" x14ac:dyDescent="0.3">
      <c r="B876">
        <v>13</v>
      </c>
      <c r="C876" t="s">
        <v>2419</v>
      </c>
      <c r="D876" t="s">
        <v>164</v>
      </c>
      <c r="E876" t="s">
        <v>131</v>
      </c>
      <c r="F876" s="6" t="s">
        <v>2411</v>
      </c>
      <c r="G876">
        <v>12000</v>
      </c>
      <c r="H876">
        <v>12000</v>
      </c>
      <c r="I876">
        <f t="shared" si="67"/>
        <v>0</v>
      </c>
      <c r="K876" t="s">
        <v>2489</v>
      </c>
    </row>
    <row r="877" spans="2:11" x14ac:dyDescent="0.3">
      <c r="E877" s="120" t="s">
        <v>2420</v>
      </c>
      <c r="F877" s="121"/>
      <c r="G877" s="121"/>
      <c r="H877" s="49">
        <f>SUM(H864:H876)</f>
        <v>339800</v>
      </c>
    </row>
    <row r="879" spans="2:11" x14ac:dyDescent="0.3">
      <c r="B879">
        <v>1</v>
      </c>
      <c r="C879" t="s">
        <v>1536</v>
      </c>
      <c r="D879" t="s">
        <v>24</v>
      </c>
      <c r="E879" t="s">
        <v>12</v>
      </c>
      <c r="F879" s="6" t="s">
        <v>2425</v>
      </c>
      <c r="G879">
        <v>15000</v>
      </c>
      <c r="H879">
        <v>15000</v>
      </c>
      <c r="I879">
        <f t="shared" ref="I879:I883" si="68">G879-H879</f>
        <v>0</v>
      </c>
      <c r="K879" t="s">
        <v>2426</v>
      </c>
    </row>
    <row r="880" spans="2:11" x14ac:dyDescent="0.3">
      <c r="B880">
        <v>2</v>
      </c>
      <c r="C880" t="s">
        <v>2427</v>
      </c>
      <c r="D880" t="s">
        <v>2371</v>
      </c>
      <c r="E880" t="s">
        <v>746</v>
      </c>
      <c r="F880" s="47" t="s">
        <v>2428</v>
      </c>
      <c r="G880">
        <v>230000</v>
      </c>
      <c r="H880">
        <f>130000+100000</f>
        <v>230000</v>
      </c>
      <c r="I880">
        <f t="shared" si="68"/>
        <v>0</v>
      </c>
      <c r="K880" t="s">
        <v>2472</v>
      </c>
    </row>
    <row r="881" spans="2:11" x14ac:dyDescent="0.3">
      <c r="B881">
        <v>3</v>
      </c>
      <c r="C881" t="s">
        <v>2431</v>
      </c>
      <c r="E881" t="s">
        <v>12</v>
      </c>
      <c r="F881" s="47" t="s">
        <v>2432</v>
      </c>
      <c r="G881">
        <f>25000+3000+15000+4000-3000</f>
        <v>44000</v>
      </c>
      <c r="H881">
        <f>19000+25000</f>
        <v>44000</v>
      </c>
      <c r="I881">
        <f t="shared" si="68"/>
        <v>0</v>
      </c>
      <c r="K881" t="s">
        <v>2457</v>
      </c>
    </row>
    <row r="882" spans="2:11" x14ac:dyDescent="0.3">
      <c r="B882">
        <v>4</v>
      </c>
      <c r="C882" t="s">
        <v>2249</v>
      </c>
      <c r="D882" t="s">
        <v>18</v>
      </c>
      <c r="E882" t="s">
        <v>12</v>
      </c>
      <c r="F882" s="47" t="s">
        <v>2441</v>
      </c>
      <c r="G882">
        <v>15000</v>
      </c>
      <c r="H882">
        <v>0</v>
      </c>
      <c r="I882">
        <f t="shared" si="68"/>
        <v>15000</v>
      </c>
      <c r="K882" t="s">
        <v>2442</v>
      </c>
    </row>
    <row r="883" spans="2:11" x14ac:dyDescent="0.3">
      <c r="B883">
        <v>5</v>
      </c>
      <c r="C883" t="s">
        <v>2443</v>
      </c>
      <c r="D883" t="s">
        <v>130</v>
      </c>
      <c r="E883" t="s">
        <v>131</v>
      </c>
      <c r="F883" s="47" t="s">
        <v>2434</v>
      </c>
      <c r="G883">
        <v>3000</v>
      </c>
      <c r="H883">
        <v>3000</v>
      </c>
      <c r="I883">
        <f t="shared" si="68"/>
        <v>0</v>
      </c>
      <c r="K883" t="s">
        <v>2444</v>
      </c>
    </row>
    <row r="884" spans="2:11" x14ac:dyDescent="0.3">
      <c r="B884">
        <v>6</v>
      </c>
      <c r="C884" t="s">
        <v>2450</v>
      </c>
      <c r="D884" t="s">
        <v>1361</v>
      </c>
      <c r="E884" t="s">
        <v>1362</v>
      </c>
      <c r="F884" s="6" t="s">
        <v>2448</v>
      </c>
      <c r="G884">
        <f>14400+12000</f>
        <v>26400</v>
      </c>
      <c r="H884">
        <v>26000</v>
      </c>
      <c r="I884">
        <f t="shared" ref="I884:I890" si="69">G884-H884</f>
        <v>400</v>
      </c>
      <c r="K884" t="s">
        <v>2449</v>
      </c>
    </row>
    <row r="885" spans="2:11" x14ac:dyDescent="0.3">
      <c r="B885">
        <v>7</v>
      </c>
      <c r="C885" t="s">
        <v>2451</v>
      </c>
      <c r="D885" t="s">
        <v>100</v>
      </c>
      <c r="E885" t="s">
        <v>12</v>
      </c>
      <c r="F885" s="6" t="s">
        <v>2411</v>
      </c>
      <c r="G885">
        <v>25000</v>
      </c>
      <c r="H885">
        <v>25000</v>
      </c>
      <c r="I885">
        <f t="shared" si="69"/>
        <v>0</v>
      </c>
      <c r="K885" t="s">
        <v>2452</v>
      </c>
    </row>
    <row r="886" spans="2:11" x14ac:dyDescent="0.3">
      <c r="B886">
        <v>8</v>
      </c>
      <c r="C886" t="s">
        <v>122</v>
      </c>
      <c r="D886" t="s">
        <v>123</v>
      </c>
      <c r="E886" t="s">
        <v>46</v>
      </c>
      <c r="F886" s="6" t="s">
        <v>2453</v>
      </c>
      <c r="G886">
        <v>12000</v>
      </c>
      <c r="H886">
        <v>12000</v>
      </c>
      <c r="I886">
        <f t="shared" si="69"/>
        <v>0</v>
      </c>
      <c r="K886" t="s">
        <v>2454</v>
      </c>
    </row>
    <row r="887" spans="2:11" x14ac:dyDescent="0.3">
      <c r="B887">
        <v>9</v>
      </c>
      <c r="C887" t="s">
        <v>2327</v>
      </c>
      <c r="D887" t="s">
        <v>1086</v>
      </c>
      <c r="E887" t="s">
        <v>46</v>
      </c>
      <c r="F887" s="6" t="s">
        <v>2456</v>
      </c>
      <c r="G887">
        <f>16200+15000</f>
        <v>31200</v>
      </c>
      <c r="H887">
        <f>20000+11200</f>
        <v>31200</v>
      </c>
      <c r="I887">
        <f t="shared" si="69"/>
        <v>0</v>
      </c>
      <c r="K887" t="s">
        <v>2492</v>
      </c>
    </row>
    <row r="888" spans="2:11" x14ac:dyDescent="0.3">
      <c r="B888">
        <v>10</v>
      </c>
      <c r="C888" t="s">
        <v>2458</v>
      </c>
      <c r="D888" t="s">
        <v>2459</v>
      </c>
      <c r="E888" t="s">
        <v>46</v>
      </c>
      <c r="F888" s="6" t="s">
        <v>2460</v>
      </c>
      <c r="G888">
        <f>19000+12000</f>
        <v>31000</v>
      </c>
      <c r="H888">
        <f>19000+12000</f>
        <v>31000</v>
      </c>
      <c r="I888">
        <f t="shared" si="69"/>
        <v>0</v>
      </c>
      <c r="K888" t="s">
        <v>2468</v>
      </c>
    </row>
    <row r="889" spans="2:11" x14ac:dyDescent="0.3">
      <c r="B889">
        <v>11</v>
      </c>
      <c r="C889" t="s">
        <v>394</v>
      </c>
      <c r="D889" t="s">
        <v>2473</v>
      </c>
      <c r="E889" t="s">
        <v>12</v>
      </c>
      <c r="F889" s="6" t="s">
        <v>2474</v>
      </c>
      <c r="G889">
        <v>12000</v>
      </c>
      <c r="H889">
        <v>12000</v>
      </c>
      <c r="I889">
        <f t="shared" si="69"/>
        <v>0</v>
      </c>
      <c r="K889" t="s">
        <v>2475</v>
      </c>
    </row>
    <row r="890" spans="2:11" x14ac:dyDescent="0.3">
      <c r="B890">
        <v>12</v>
      </c>
      <c r="C890" t="s">
        <v>2483</v>
      </c>
      <c r="E890" t="s">
        <v>12</v>
      </c>
      <c r="F890" s="6" t="s">
        <v>2484</v>
      </c>
      <c r="G890">
        <v>57600</v>
      </c>
      <c r="H890">
        <v>57600</v>
      </c>
      <c r="I890">
        <f t="shared" si="69"/>
        <v>0</v>
      </c>
      <c r="K890" t="s">
        <v>2485</v>
      </c>
    </row>
    <row r="891" spans="2:11" x14ac:dyDescent="0.3">
      <c r="E891" s="120" t="s">
        <v>2527</v>
      </c>
      <c r="F891" s="121"/>
      <c r="G891" s="121"/>
      <c r="H891" s="49">
        <f>SUM(H879:H890)</f>
        <v>486800</v>
      </c>
    </row>
    <row r="893" spans="2:11" x14ac:dyDescent="0.3">
      <c r="B893">
        <v>1</v>
      </c>
      <c r="C893" t="s">
        <v>2479</v>
      </c>
      <c r="D893" t="s">
        <v>14</v>
      </c>
      <c r="E893" t="s">
        <v>12</v>
      </c>
      <c r="F893" s="6" t="s">
        <v>2480</v>
      </c>
      <c r="G893">
        <v>70000</v>
      </c>
      <c r="H893">
        <v>70000</v>
      </c>
      <c r="I893">
        <f t="shared" ref="I893:I902" si="70">G893-H893</f>
        <v>0</v>
      </c>
      <c r="K893" t="s">
        <v>2481</v>
      </c>
    </row>
    <row r="894" spans="2:11" x14ac:dyDescent="0.3">
      <c r="B894">
        <v>2</v>
      </c>
      <c r="C894" t="s">
        <v>1515</v>
      </c>
      <c r="D894" t="s">
        <v>654</v>
      </c>
      <c r="E894" t="s">
        <v>12</v>
      </c>
      <c r="F894" s="6" t="s">
        <v>2480</v>
      </c>
      <c r="G894">
        <f>9000+5250</f>
        <v>14250</v>
      </c>
      <c r="H894">
        <v>14250</v>
      </c>
      <c r="I894">
        <f t="shared" si="70"/>
        <v>0</v>
      </c>
      <c r="K894" t="s">
        <v>2482</v>
      </c>
    </row>
    <row r="895" spans="2:11" x14ac:dyDescent="0.3">
      <c r="B895">
        <v>3</v>
      </c>
      <c r="C895" t="s">
        <v>2493</v>
      </c>
      <c r="D895" t="s">
        <v>311</v>
      </c>
      <c r="E895" t="s">
        <v>131</v>
      </c>
      <c r="F895" s="6" t="s">
        <v>1875</v>
      </c>
      <c r="G895">
        <f>(1480*12*2)+(800*12*2)</f>
        <v>54720</v>
      </c>
      <c r="H895">
        <v>52800</v>
      </c>
      <c r="I895">
        <f t="shared" si="70"/>
        <v>1920</v>
      </c>
      <c r="K895" t="s">
        <v>2494</v>
      </c>
    </row>
    <row r="896" spans="2:11" x14ac:dyDescent="0.3">
      <c r="B896">
        <v>4</v>
      </c>
      <c r="C896" t="s">
        <v>2602</v>
      </c>
      <c r="D896" t="s">
        <v>18</v>
      </c>
      <c r="E896" t="s">
        <v>12</v>
      </c>
      <c r="F896" s="6" t="s">
        <v>2496</v>
      </c>
      <c r="G896">
        <v>70000</v>
      </c>
      <c r="H896">
        <v>70000</v>
      </c>
      <c r="I896">
        <f t="shared" si="70"/>
        <v>0</v>
      </c>
      <c r="K896" t="s">
        <v>2510</v>
      </c>
    </row>
    <row r="897" spans="2:11" x14ac:dyDescent="0.3">
      <c r="B897">
        <v>5</v>
      </c>
      <c r="C897" t="s">
        <v>2497</v>
      </c>
      <c r="D897" t="s">
        <v>2498</v>
      </c>
      <c r="E897" t="s">
        <v>131</v>
      </c>
      <c r="F897" s="6" t="s">
        <v>2499</v>
      </c>
      <c r="G897">
        <f>38000+12000</f>
        <v>50000</v>
      </c>
      <c r="H897">
        <f>35000+5000+10000</f>
        <v>50000</v>
      </c>
      <c r="I897">
        <f t="shared" si="70"/>
        <v>0</v>
      </c>
      <c r="K897" t="s">
        <v>2678</v>
      </c>
    </row>
    <row r="898" spans="2:11" x14ac:dyDescent="0.3">
      <c r="B898">
        <v>6</v>
      </c>
      <c r="C898" t="s">
        <v>2513</v>
      </c>
      <c r="D898" t="s">
        <v>2514</v>
      </c>
      <c r="E898" t="s">
        <v>131</v>
      </c>
      <c r="F898" s="6" t="s">
        <v>2511</v>
      </c>
      <c r="G898">
        <f>35000+12000</f>
        <v>47000</v>
      </c>
      <c r="H898">
        <f>35000+12000</f>
        <v>47000</v>
      </c>
      <c r="I898">
        <f t="shared" si="70"/>
        <v>0</v>
      </c>
      <c r="K898" t="s">
        <v>2660</v>
      </c>
    </row>
    <row r="899" spans="2:11" x14ac:dyDescent="0.3">
      <c r="B899">
        <v>7</v>
      </c>
      <c r="C899" t="s">
        <v>377</v>
      </c>
      <c r="D899" t="s">
        <v>373</v>
      </c>
      <c r="E899" t="s">
        <v>12</v>
      </c>
      <c r="F899" s="6" t="s">
        <v>2518</v>
      </c>
      <c r="G899">
        <f>60000+4000+7000</f>
        <v>71000</v>
      </c>
      <c r="H899">
        <f>30000+30000</f>
        <v>60000</v>
      </c>
      <c r="I899">
        <f t="shared" si="70"/>
        <v>11000</v>
      </c>
      <c r="K899" t="s">
        <v>2549</v>
      </c>
    </row>
    <row r="900" spans="2:11" x14ac:dyDescent="0.3">
      <c r="B900">
        <v>8</v>
      </c>
      <c r="C900" t="s">
        <v>886</v>
      </c>
      <c r="D900" t="s">
        <v>2520</v>
      </c>
      <c r="E900" t="s">
        <v>888</v>
      </c>
      <c r="F900" s="6" t="s">
        <v>2521</v>
      </c>
      <c r="G900">
        <v>45000</v>
      </c>
      <c r="H900">
        <v>45000</v>
      </c>
      <c r="I900">
        <f t="shared" si="70"/>
        <v>0</v>
      </c>
      <c r="K900" t="s">
        <v>2538</v>
      </c>
    </row>
    <row r="901" spans="2:11" x14ac:dyDescent="0.3">
      <c r="B901">
        <v>9</v>
      </c>
      <c r="C901" t="s">
        <v>761</v>
      </c>
      <c r="D901" t="s">
        <v>2522</v>
      </c>
      <c r="E901" t="s">
        <v>762</v>
      </c>
      <c r="F901" s="6" t="s">
        <v>2523</v>
      </c>
      <c r="G901">
        <f>35000+4000</f>
        <v>39000</v>
      </c>
      <c r="H901">
        <v>39000</v>
      </c>
      <c r="I901">
        <f t="shared" si="70"/>
        <v>0</v>
      </c>
      <c r="K901" t="s">
        <v>2544</v>
      </c>
    </row>
    <row r="902" spans="2:11" x14ac:dyDescent="0.3">
      <c r="B902">
        <v>10</v>
      </c>
      <c r="C902" t="s">
        <v>1899</v>
      </c>
      <c r="D902" t="s">
        <v>1900</v>
      </c>
      <c r="E902" s="6" t="s">
        <v>39</v>
      </c>
      <c r="F902" s="6" t="s">
        <v>2524</v>
      </c>
      <c r="G902">
        <f>(18000+15360)*2</f>
        <v>66720</v>
      </c>
      <c r="H902">
        <v>60000</v>
      </c>
      <c r="I902">
        <f t="shared" si="70"/>
        <v>6720</v>
      </c>
      <c r="K902" t="s">
        <v>2525</v>
      </c>
    </row>
    <row r="903" spans="2:11" x14ac:dyDescent="0.3">
      <c r="E903" s="120" t="s">
        <v>2528</v>
      </c>
      <c r="F903" s="121"/>
      <c r="G903" s="121"/>
      <c r="H903" s="49">
        <f>SUM(H893:H902)</f>
        <v>508050</v>
      </c>
    </row>
    <row r="905" spans="2:11" x14ac:dyDescent="0.3">
      <c r="B905">
        <v>1</v>
      </c>
      <c r="C905" t="s">
        <v>1903</v>
      </c>
      <c r="D905" t="s">
        <v>1459</v>
      </c>
      <c r="E905" t="s">
        <v>12</v>
      </c>
      <c r="F905" s="6" t="s">
        <v>2529</v>
      </c>
      <c r="G905">
        <f>18000+15360</f>
        <v>33360</v>
      </c>
      <c r="H905">
        <v>33360</v>
      </c>
      <c r="I905">
        <f t="shared" ref="I905:I937" si="71">G905-H905</f>
        <v>0</v>
      </c>
      <c r="K905" t="s">
        <v>2530</v>
      </c>
    </row>
    <row r="906" spans="2:11" x14ac:dyDescent="0.3">
      <c r="B906">
        <v>2</v>
      </c>
      <c r="C906" t="s">
        <v>2531</v>
      </c>
      <c r="E906" t="s">
        <v>22</v>
      </c>
      <c r="F906" s="6" t="s">
        <v>2529</v>
      </c>
      <c r="G906">
        <f>25000+12000</f>
        <v>37000</v>
      </c>
      <c r="H906">
        <f>10000+27000</f>
        <v>37000</v>
      </c>
      <c r="I906">
        <f t="shared" si="71"/>
        <v>0</v>
      </c>
      <c r="K906" t="s">
        <v>2543</v>
      </c>
    </row>
    <row r="907" spans="2:11" x14ac:dyDescent="0.3">
      <c r="B907">
        <v>3</v>
      </c>
      <c r="C907" t="s">
        <v>1515</v>
      </c>
      <c r="D907" t="s">
        <v>654</v>
      </c>
      <c r="E907" t="s">
        <v>12</v>
      </c>
      <c r="F907" s="6" t="s">
        <v>2529</v>
      </c>
      <c r="G907">
        <f>1750*3*2</f>
        <v>10500</v>
      </c>
      <c r="H907">
        <v>10500</v>
      </c>
      <c r="I907">
        <f t="shared" si="71"/>
        <v>0</v>
      </c>
      <c r="K907" t="s">
        <v>2532</v>
      </c>
    </row>
    <row r="908" spans="2:11" x14ac:dyDescent="0.3">
      <c r="B908">
        <v>4</v>
      </c>
      <c r="C908" t="s">
        <v>600</v>
      </c>
      <c r="D908" t="s">
        <v>2536</v>
      </c>
      <c r="E908" t="s">
        <v>12</v>
      </c>
      <c r="F908" s="6" t="s">
        <v>2506</v>
      </c>
      <c r="G908">
        <v>12000</v>
      </c>
      <c r="H908">
        <v>12000</v>
      </c>
      <c r="I908">
        <f t="shared" si="71"/>
        <v>0</v>
      </c>
      <c r="K908" t="s">
        <v>2537</v>
      </c>
    </row>
    <row r="909" spans="2:11" x14ac:dyDescent="0.3">
      <c r="B909">
        <v>5</v>
      </c>
      <c r="C909" t="s">
        <v>2539</v>
      </c>
      <c r="D909" t="s">
        <v>2540</v>
      </c>
      <c r="E909" t="s">
        <v>12</v>
      </c>
      <c r="F909" s="6" t="s">
        <v>2541</v>
      </c>
      <c r="G909">
        <f>140000+350000</f>
        <v>490000</v>
      </c>
      <c r="H909">
        <v>233975</v>
      </c>
      <c r="I909">
        <f t="shared" si="71"/>
        <v>256025</v>
      </c>
      <c r="K909" t="s">
        <v>2542</v>
      </c>
    </row>
    <row r="910" spans="2:11" x14ac:dyDescent="0.3">
      <c r="B910">
        <v>6</v>
      </c>
      <c r="C910" t="s">
        <v>243</v>
      </c>
      <c r="D910" t="s">
        <v>26</v>
      </c>
      <c r="E910" t="s">
        <v>12</v>
      </c>
      <c r="F910" s="6" t="s">
        <v>2547</v>
      </c>
      <c r="G910">
        <v>60000</v>
      </c>
      <c r="H910">
        <f>50000+10000</f>
        <v>60000</v>
      </c>
      <c r="I910">
        <f t="shared" si="71"/>
        <v>0</v>
      </c>
      <c r="K910" t="s">
        <v>2730</v>
      </c>
    </row>
    <row r="911" spans="2:11" x14ac:dyDescent="0.3">
      <c r="B911">
        <v>7</v>
      </c>
      <c r="C911" t="s">
        <v>243</v>
      </c>
      <c r="D911" t="s">
        <v>26</v>
      </c>
      <c r="E911" t="s">
        <v>12</v>
      </c>
      <c r="F911" s="6" t="s">
        <v>2568</v>
      </c>
      <c r="G911">
        <f>(1280*12)+12000</f>
        <v>27360</v>
      </c>
      <c r="H911">
        <v>27360</v>
      </c>
      <c r="I911">
        <f t="shared" si="71"/>
        <v>0</v>
      </c>
      <c r="K911" t="s">
        <v>2569</v>
      </c>
    </row>
    <row r="912" spans="2:11" x14ac:dyDescent="0.3">
      <c r="B912">
        <v>8</v>
      </c>
      <c r="C912" t="s">
        <v>2550</v>
      </c>
      <c r="D912" t="s">
        <v>654</v>
      </c>
      <c r="E912" t="s">
        <v>746</v>
      </c>
      <c r="F912" s="6" t="s">
        <v>2551</v>
      </c>
      <c r="G912">
        <v>80000</v>
      </c>
      <c r="H912">
        <f>30000+30000+20000</f>
        <v>80000</v>
      </c>
      <c r="I912">
        <f t="shared" si="71"/>
        <v>0</v>
      </c>
      <c r="K912" t="s">
        <v>2559</v>
      </c>
    </row>
    <row r="913" spans="2:11" x14ac:dyDescent="0.3">
      <c r="B913">
        <v>9</v>
      </c>
      <c r="C913" t="s">
        <v>84</v>
      </c>
      <c r="D913" t="s">
        <v>210</v>
      </c>
      <c r="E913" t="s">
        <v>12</v>
      </c>
      <c r="F913" s="6" t="s">
        <v>2552</v>
      </c>
      <c r="G913">
        <f>(1460*12)+12000</f>
        <v>29520</v>
      </c>
      <c r="H913">
        <v>25810</v>
      </c>
      <c r="I913">
        <f t="shared" si="71"/>
        <v>3710</v>
      </c>
      <c r="K913" t="s">
        <v>2581</v>
      </c>
    </row>
    <row r="914" spans="2:11" x14ac:dyDescent="0.3">
      <c r="B914">
        <v>10</v>
      </c>
      <c r="C914" s="4" t="s">
        <v>442</v>
      </c>
      <c r="D914" t="s">
        <v>443</v>
      </c>
      <c r="E914" t="s">
        <v>12</v>
      </c>
      <c r="F914" s="6" t="s">
        <v>2553</v>
      </c>
      <c r="G914">
        <f>(12000)+(1280*12)+(700*12)-760</f>
        <v>35000</v>
      </c>
      <c r="H914">
        <v>35000</v>
      </c>
      <c r="I914">
        <f t="shared" si="71"/>
        <v>0</v>
      </c>
      <c r="K914" t="s">
        <v>2556</v>
      </c>
    </row>
    <row r="915" spans="2:11" x14ac:dyDescent="0.3">
      <c r="B915">
        <v>11</v>
      </c>
      <c r="C915" s="4" t="s">
        <v>1954</v>
      </c>
      <c r="D915" t="s">
        <v>119</v>
      </c>
      <c r="E915" t="s">
        <v>245</v>
      </c>
      <c r="F915" s="6" t="s">
        <v>2558</v>
      </c>
      <c r="G915">
        <f>50000+17760</f>
        <v>67760</v>
      </c>
      <c r="H915">
        <v>67760</v>
      </c>
      <c r="I915">
        <f t="shared" si="71"/>
        <v>0</v>
      </c>
      <c r="K915" t="s">
        <v>2560</v>
      </c>
    </row>
    <row r="916" spans="2:11" x14ac:dyDescent="0.3">
      <c r="B916">
        <v>12</v>
      </c>
      <c r="C916" s="4" t="s">
        <v>2561</v>
      </c>
      <c r="D916" t="s">
        <v>1376</v>
      </c>
      <c r="E916" t="s">
        <v>12</v>
      </c>
      <c r="F916" s="6" t="s">
        <v>2558</v>
      </c>
      <c r="G916">
        <v>27360</v>
      </c>
      <c r="H916">
        <v>27360</v>
      </c>
      <c r="I916">
        <f t="shared" si="71"/>
        <v>0</v>
      </c>
      <c r="K916" t="s">
        <v>2562</v>
      </c>
    </row>
    <row r="917" spans="2:11" x14ac:dyDescent="0.3">
      <c r="B917">
        <v>13</v>
      </c>
      <c r="C917" s="4" t="s">
        <v>287</v>
      </c>
      <c r="D917" t="s">
        <v>94</v>
      </c>
      <c r="E917" t="s">
        <v>131</v>
      </c>
      <c r="F917" s="6" t="s">
        <v>2558</v>
      </c>
      <c r="G917">
        <v>16000</v>
      </c>
      <c r="H917">
        <v>16000</v>
      </c>
      <c r="I917">
        <f t="shared" si="71"/>
        <v>0</v>
      </c>
      <c r="K917" t="s">
        <v>2579</v>
      </c>
    </row>
    <row r="918" spans="2:11" x14ac:dyDescent="0.3">
      <c r="B918">
        <v>14</v>
      </c>
      <c r="C918" s="4" t="s">
        <v>695</v>
      </c>
      <c r="D918" t="s">
        <v>696</v>
      </c>
      <c r="E918" t="s">
        <v>12</v>
      </c>
      <c r="F918" s="6" t="s">
        <v>2563</v>
      </c>
      <c r="G918">
        <v>18000</v>
      </c>
      <c r="H918">
        <v>18000</v>
      </c>
      <c r="I918">
        <f t="shared" si="71"/>
        <v>0</v>
      </c>
      <c r="K918" t="s">
        <v>2564</v>
      </c>
    </row>
    <row r="919" spans="2:11" x14ac:dyDescent="0.3">
      <c r="B919">
        <v>15</v>
      </c>
      <c r="C919" s="4" t="s">
        <v>2565</v>
      </c>
      <c r="D919" t="s">
        <v>18</v>
      </c>
      <c r="E919" t="s">
        <v>12</v>
      </c>
      <c r="F919" s="6" t="s">
        <v>2566</v>
      </c>
      <c r="G919">
        <f>12000*3</f>
        <v>36000</v>
      </c>
      <c r="H919">
        <v>36000</v>
      </c>
      <c r="I919">
        <f t="shared" si="71"/>
        <v>0</v>
      </c>
      <c r="K919" t="s">
        <v>2656</v>
      </c>
    </row>
    <row r="920" spans="2:11" x14ac:dyDescent="0.3">
      <c r="B920">
        <v>16</v>
      </c>
      <c r="C920" t="s">
        <v>1358</v>
      </c>
      <c r="D920" t="s">
        <v>164</v>
      </c>
      <c r="E920" t="s">
        <v>325</v>
      </c>
      <c r="F920" s="6" t="s">
        <v>2566</v>
      </c>
      <c r="G920">
        <v>15000</v>
      </c>
      <c r="H920">
        <v>15000</v>
      </c>
      <c r="I920">
        <f t="shared" si="71"/>
        <v>0</v>
      </c>
      <c r="K920" t="s">
        <v>2612</v>
      </c>
    </row>
    <row r="921" spans="2:11" x14ac:dyDescent="0.3">
      <c r="B921">
        <v>17</v>
      </c>
      <c r="C921" t="s">
        <v>1505</v>
      </c>
      <c r="D921" t="s">
        <v>1354</v>
      </c>
      <c r="E921" t="s">
        <v>245</v>
      </c>
      <c r="F921" s="6" t="s">
        <v>2568</v>
      </c>
      <c r="G921">
        <f>16200+12000</f>
        <v>28200</v>
      </c>
      <c r="H921">
        <v>26400</v>
      </c>
      <c r="I921">
        <f t="shared" si="71"/>
        <v>1800</v>
      </c>
      <c r="K921" t="s">
        <v>2571</v>
      </c>
    </row>
    <row r="922" spans="2:11" x14ac:dyDescent="0.3">
      <c r="B922">
        <v>18</v>
      </c>
      <c r="C922" t="s">
        <v>2020</v>
      </c>
      <c r="D922" t="s">
        <v>2021</v>
      </c>
      <c r="E922" t="s">
        <v>7</v>
      </c>
      <c r="F922" s="6" t="s">
        <v>2568</v>
      </c>
      <c r="G922">
        <v>12000</v>
      </c>
      <c r="H922">
        <v>12000</v>
      </c>
      <c r="I922">
        <f t="shared" si="71"/>
        <v>0</v>
      </c>
      <c r="K922" t="s">
        <v>2570</v>
      </c>
    </row>
    <row r="923" spans="2:11" x14ac:dyDescent="0.3">
      <c r="B923">
        <v>19</v>
      </c>
      <c r="C923" t="s">
        <v>1109</v>
      </c>
      <c r="D923" t="s">
        <v>1110</v>
      </c>
      <c r="E923" t="s">
        <v>51</v>
      </c>
      <c r="F923" s="6" t="s">
        <v>2568</v>
      </c>
      <c r="G923">
        <v>6000</v>
      </c>
      <c r="H923">
        <v>6000</v>
      </c>
      <c r="I923">
        <f t="shared" si="71"/>
        <v>0</v>
      </c>
      <c r="K923" t="s">
        <v>2573</v>
      </c>
    </row>
    <row r="924" spans="2:11" x14ac:dyDescent="0.3">
      <c r="B924">
        <v>20</v>
      </c>
      <c r="C924" t="s">
        <v>2577</v>
      </c>
      <c r="D924" t="s">
        <v>364</v>
      </c>
      <c r="E924" t="s">
        <v>12</v>
      </c>
      <c r="F924" s="6" t="s">
        <v>2574</v>
      </c>
      <c r="G924">
        <v>18000</v>
      </c>
      <c r="H924">
        <v>18000</v>
      </c>
      <c r="I924">
        <f t="shared" si="71"/>
        <v>0</v>
      </c>
      <c r="K924" t="s">
        <v>2578</v>
      </c>
    </row>
    <row r="925" spans="2:11" x14ac:dyDescent="0.3">
      <c r="B925">
        <v>21</v>
      </c>
      <c r="C925" t="s">
        <v>23</v>
      </c>
      <c r="D925" t="s">
        <v>24</v>
      </c>
      <c r="E925" t="s">
        <v>12</v>
      </c>
      <c r="F925" s="6" t="s">
        <v>2574</v>
      </c>
      <c r="G925">
        <v>214500</v>
      </c>
      <c r="H925">
        <v>214000</v>
      </c>
      <c r="I925">
        <f t="shared" si="71"/>
        <v>500</v>
      </c>
      <c r="K925" t="s">
        <v>2594</v>
      </c>
    </row>
    <row r="926" spans="2:11" x14ac:dyDescent="0.3">
      <c r="B926">
        <v>22</v>
      </c>
      <c r="C926" t="s">
        <v>344</v>
      </c>
      <c r="D926" t="s">
        <v>18</v>
      </c>
      <c r="E926" t="s">
        <v>51</v>
      </c>
      <c r="F926" s="6" t="s">
        <v>2574</v>
      </c>
      <c r="G926">
        <v>22200</v>
      </c>
      <c r="H926">
        <f>20400+1800</f>
        <v>22200</v>
      </c>
      <c r="I926">
        <f t="shared" si="71"/>
        <v>0</v>
      </c>
      <c r="K926" t="s">
        <v>2580</v>
      </c>
    </row>
    <row r="927" spans="2:11" x14ac:dyDescent="0.3">
      <c r="B927">
        <v>23</v>
      </c>
      <c r="C927" t="s">
        <v>2583</v>
      </c>
      <c r="D927" t="s">
        <v>332</v>
      </c>
      <c r="E927" t="s">
        <v>51</v>
      </c>
      <c r="F927" s="6" t="s">
        <v>2568</v>
      </c>
      <c r="G927">
        <f>(6000+16200)*2</f>
        <v>44400</v>
      </c>
      <c r="H927">
        <f>40800+3600</f>
        <v>44400</v>
      </c>
      <c r="I927">
        <f t="shared" si="71"/>
        <v>0</v>
      </c>
      <c r="K927" t="s">
        <v>2582</v>
      </c>
    </row>
    <row r="928" spans="2:11" x14ac:dyDescent="0.3">
      <c r="B928">
        <v>24</v>
      </c>
      <c r="C928" t="s">
        <v>369</v>
      </c>
      <c r="D928" t="s">
        <v>2584</v>
      </c>
      <c r="E928" t="s">
        <v>12</v>
      </c>
      <c r="F928" s="6" t="s">
        <v>1975</v>
      </c>
      <c r="G928">
        <v>12000</v>
      </c>
      <c r="H928">
        <f>6000+6000</f>
        <v>12000</v>
      </c>
      <c r="I928">
        <f t="shared" si="71"/>
        <v>0</v>
      </c>
      <c r="K928" t="s">
        <v>2786</v>
      </c>
    </row>
    <row r="929" spans="2:11" x14ac:dyDescent="0.3">
      <c r="B929">
        <v>25</v>
      </c>
      <c r="C929" t="s">
        <v>17</v>
      </c>
      <c r="D929" t="s">
        <v>26</v>
      </c>
      <c r="E929" t="s">
        <v>51</v>
      </c>
      <c r="F929" s="6" t="s">
        <v>2574</v>
      </c>
      <c r="G929">
        <v>12000</v>
      </c>
      <c r="H929">
        <v>12000</v>
      </c>
      <c r="I929">
        <f t="shared" si="71"/>
        <v>0</v>
      </c>
      <c r="K929" t="s">
        <v>2588</v>
      </c>
    </row>
    <row r="930" spans="2:11" x14ac:dyDescent="0.3">
      <c r="B930">
        <v>26</v>
      </c>
      <c r="C930" t="s">
        <v>384</v>
      </c>
      <c r="D930" t="s">
        <v>103</v>
      </c>
      <c r="E930" t="s">
        <v>12</v>
      </c>
      <c r="F930" s="6" t="s">
        <v>1975</v>
      </c>
      <c r="G930">
        <v>12000</v>
      </c>
      <c r="H930">
        <v>12000</v>
      </c>
      <c r="I930">
        <f t="shared" si="71"/>
        <v>0</v>
      </c>
      <c r="K930" t="s">
        <v>2603</v>
      </c>
    </row>
    <row r="931" spans="2:11" x14ac:dyDescent="0.3">
      <c r="B931">
        <v>27</v>
      </c>
      <c r="C931" t="s">
        <v>2445</v>
      </c>
      <c r="D931" t="s">
        <v>26</v>
      </c>
      <c r="E931" t="s">
        <v>51</v>
      </c>
      <c r="F931" s="6" t="s">
        <v>2574</v>
      </c>
      <c r="G931">
        <f>18000+16200</f>
        <v>34200</v>
      </c>
      <c r="H931">
        <v>34200</v>
      </c>
      <c r="I931">
        <f t="shared" si="71"/>
        <v>0</v>
      </c>
      <c r="K931" t="s">
        <v>2587</v>
      </c>
    </row>
    <row r="932" spans="2:11" x14ac:dyDescent="0.3">
      <c r="B932">
        <v>28</v>
      </c>
      <c r="C932" t="s">
        <v>377</v>
      </c>
      <c r="D932" t="s">
        <v>373</v>
      </c>
      <c r="E932" t="s">
        <v>51</v>
      </c>
      <c r="F932" s="6" t="s">
        <v>1975</v>
      </c>
      <c r="G932">
        <f>(9*1000*6)+11000</f>
        <v>65000</v>
      </c>
      <c r="H932">
        <v>50000</v>
      </c>
      <c r="I932">
        <f t="shared" si="71"/>
        <v>15000</v>
      </c>
      <c r="K932" t="s">
        <v>2585</v>
      </c>
    </row>
    <row r="933" spans="2:11" x14ac:dyDescent="0.3">
      <c r="C933" t="s">
        <v>2651</v>
      </c>
      <c r="D933" t="s">
        <v>373</v>
      </c>
      <c r="E933" t="s">
        <v>51</v>
      </c>
      <c r="F933" s="6" t="s">
        <v>2646</v>
      </c>
      <c r="G933">
        <f>30000+6000</f>
        <v>36000</v>
      </c>
      <c r="H933">
        <v>50000</v>
      </c>
      <c r="I933">
        <f t="shared" si="71"/>
        <v>-14000</v>
      </c>
      <c r="K933" t="s">
        <v>2669</v>
      </c>
    </row>
    <row r="934" spans="2:11" x14ac:dyDescent="0.3">
      <c r="B934">
        <v>30</v>
      </c>
      <c r="C934" t="s">
        <v>648</v>
      </c>
      <c r="D934" t="s">
        <v>649</v>
      </c>
      <c r="E934" t="s">
        <v>46</v>
      </c>
      <c r="F934" s="6" t="s">
        <v>2574</v>
      </c>
      <c r="G934">
        <v>12000</v>
      </c>
      <c r="H934">
        <v>12000</v>
      </c>
      <c r="I934">
        <f t="shared" si="71"/>
        <v>0</v>
      </c>
      <c r="K934" t="s">
        <v>2586</v>
      </c>
    </row>
    <row r="935" spans="2:11" x14ac:dyDescent="0.3">
      <c r="B935">
        <v>31</v>
      </c>
      <c r="C935" t="s">
        <v>2589</v>
      </c>
      <c r="D935" t="s">
        <v>1406</v>
      </c>
      <c r="E935" t="s">
        <v>2590</v>
      </c>
      <c r="F935" s="6" t="s">
        <v>1975</v>
      </c>
      <c r="G935">
        <v>24000</v>
      </c>
      <c r="H935">
        <f>12000+12000</f>
        <v>24000</v>
      </c>
      <c r="I935">
        <f t="shared" si="71"/>
        <v>0</v>
      </c>
      <c r="K935" t="s">
        <v>2673</v>
      </c>
    </row>
    <row r="936" spans="2:11" x14ac:dyDescent="0.3">
      <c r="B936">
        <v>32</v>
      </c>
      <c r="C936" t="s">
        <v>2591</v>
      </c>
      <c r="D936" t="s">
        <v>1245</v>
      </c>
      <c r="E936" t="s">
        <v>46</v>
      </c>
      <c r="F936" s="6" t="s">
        <v>1975</v>
      </c>
      <c r="G936">
        <v>6000</v>
      </c>
      <c r="H936">
        <v>6000</v>
      </c>
      <c r="I936">
        <f t="shared" si="71"/>
        <v>0</v>
      </c>
      <c r="K936" t="s">
        <v>2593</v>
      </c>
    </row>
    <row r="937" spans="2:11" x14ac:dyDescent="0.3">
      <c r="B937">
        <v>33</v>
      </c>
      <c r="C937" t="s">
        <v>2592</v>
      </c>
      <c r="D937" t="s">
        <v>134</v>
      </c>
      <c r="E937" t="s">
        <v>12</v>
      </c>
      <c r="F937" s="6" t="s">
        <v>1975</v>
      </c>
      <c r="G937">
        <v>12000</v>
      </c>
      <c r="H937">
        <v>12000</v>
      </c>
      <c r="I937">
        <f t="shared" si="71"/>
        <v>0</v>
      </c>
      <c r="K937" t="s">
        <v>2657</v>
      </c>
    </row>
    <row r="938" spans="2:11" x14ac:dyDescent="0.3">
      <c r="E938" s="120" t="s">
        <v>2595</v>
      </c>
      <c r="F938" s="121"/>
      <c r="G938" s="121"/>
      <c r="H938" s="49">
        <f>SUM(H905:H937)</f>
        <v>1302325</v>
      </c>
    </row>
    <row r="940" spans="2:11" x14ac:dyDescent="0.3">
      <c r="E940" s="120" t="s">
        <v>2596</v>
      </c>
      <c r="F940" s="121"/>
      <c r="G940" s="121"/>
      <c r="H940" s="49">
        <f>SUM(H938,H903,H891,H877,H863,H856,H840,H828,H821,H807,H798,H778)</f>
        <v>7366050</v>
      </c>
    </row>
    <row r="942" spans="2:11" x14ac:dyDescent="0.3">
      <c r="B942">
        <v>1</v>
      </c>
      <c r="C942" t="s">
        <v>59</v>
      </c>
      <c r="D942" t="s">
        <v>1654</v>
      </c>
      <c r="E942" t="s">
        <v>60</v>
      </c>
      <c r="F942" s="6" t="s">
        <v>2576</v>
      </c>
      <c r="G942">
        <v>6000</v>
      </c>
      <c r="H942">
        <v>6000</v>
      </c>
      <c r="I942">
        <f t="shared" ref="I942:I979" si="72">G942-H942</f>
        <v>0</v>
      </c>
      <c r="K942" t="s">
        <v>2624</v>
      </c>
    </row>
    <row r="943" spans="2:11" x14ac:dyDescent="0.3">
      <c r="B943">
        <v>2</v>
      </c>
      <c r="C943" t="s">
        <v>69</v>
      </c>
      <c r="D943" t="s">
        <v>2597</v>
      </c>
      <c r="E943" t="s">
        <v>941</v>
      </c>
      <c r="F943" s="6" t="s">
        <v>2576</v>
      </c>
      <c r="G943">
        <v>12000</v>
      </c>
      <c r="H943">
        <v>12000</v>
      </c>
      <c r="I943">
        <f t="shared" si="72"/>
        <v>0</v>
      </c>
      <c r="K943" t="s">
        <v>2619</v>
      </c>
    </row>
    <row r="944" spans="2:11" x14ac:dyDescent="0.3">
      <c r="B944">
        <v>3</v>
      </c>
      <c r="C944" t="s">
        <v>1705</v>
      </c>
      <c r="D944" t="s">
        <v>123</v>
      </c>
      <c r="E944" t="s">
        <v>12</v>
      </c>
      <c r="F944" s="6" t="s">
        <v>2576</v>
      </c>
      <c r="G944">
        <f>1350*6+6000+3335</f>
        <v>17435</v>
      </c>
      <c r="H944">
        <v>17435</v>
      </c>
      <c r="I944">
        <f t="shared" si="72"/>
        <v>0</v>
      </c>
      <c r="K944" t="s">
        <v>2716</v>
      </c>
    </row>
    <row r="945" spans="2:11" x14ac:dyDescent="0.3">
      <c r="B945">
        <v>4</v>
      </c>
      <c r="C945" t="s">
        <v>1212</v>
      </c>
      <c r="D945" t="s">
        <v>1214</v>
      </c>
      <c r="E945" t="s">
        <v>12</v>
      </c>
      <c r="F945" s="6" t="s">
        <v>2576</v>
      </c>
      <c r="G945">
        <v>18000</v>
      </c>
      <c r="H945">
        <v>18000</v>
      </c>
      <c r="I945">
        <f t="shared" si="72"/>
        <v>0</v>
      </c>
      <c r="K945" t="s">
        <v>2649</v>
      </c>
    </row>
    <row r="946" spans="2:11" x14ac:dyDescent="0.3">
      <c r="B946">
        <v>5</v>
      </c>
      <c r="C946" t="s">
        <v>2601</v>
      </c>
      <c r="D946" t="s">
        <v>189</v>
      </c>
      <c r="E946" t="s">
        <v>12</v>
      </c>
      <c r="F946" s="6" t="s">
        <v>2576</v>
      </c>
      <c r="G946">
        <v>12000</v>
      </c>
      <c r="H946">
        <v>12000</v>
      </c>
      <c r="I946">
        <f t="shared" si="72"/>
        <v>0</v>
      </c>
      <c r="K946" t="s">
        <v>2625</v>
      </c>
    </row>
    <row r="947" spans="2:11" x14ac:dyDescent="0.3">
      <c r="B947">
        <v>6</v>
      </c>
      <c r="C947" t="s">
        <v>1958</v>
      </c>
      <c r="D947" t="s">
        <v>1959</v>
      </c>
      <c r="E947" t="s">
        <v>12</v>
      </c>
      <c r="F947" s="6" t="s">
        <v>2576</v>
      </c>
      <c r="G947">
        <v>24000</v>
      </c>
      <c r="H947">
        <v>24000</v>
      </c>
      <c r="I947">
        <f t="shared" si="72"/>
        <v>0</v>
      </c>
      <c r="K947" t="s">
        <v>2647</v>
      </c>
    </row>
    <row r="948" spans="2:11" x14ac:dyDescent="0.3">
      <c r="B948">
        <v>7</v>
      </c>
      <c r="C948" t="s">
        <v>2604</v>
      </c>
      <c r="D948" t="s">
        <v>164</v>
      </c>
      <c r="E948" t="s">
        <v>60</v>
      </c>
      <c r="F948" s="6" t="s">
        <v>2576</v>
      </c>
      <c r="G948">
        <v>6000</v>
      </c>
      <c r="H948">
        <v>6000</v>
      </c>
      <c r="I948">
        <f t="shared" si="72"/>
        <v>0</v>
      </c>
      <c r="K948" t="s">
        <v>2606</v>
      </c>
    </row>
    <row r="949" spans="2:11" x14ac:dyDescent="0.3">
      <c r="B949">
        <v>8</v>
      </c>
      <c r="C949" t="s">
        <v>1909</v>
      </c>
      <c r="D949" t="s">
        <v>2605</v>
      </c>
      <c r="E949" t="s">
        <v>51</v>
      </c>
      <c r="F949" s="6" t="s">
        <v>2576</v>
      </c>
      <c r="G949">
        <f>16200+12500</f>
        <v>28700</v>
      </c>
      <c r="H949">
        <f>16200+12500</f>
        <v>28700</v>
      </c>
      <c r="I949">
        <f t="shared" si="72"/>
        <v>0</v>
      </c>
      <c r="K949" t="s">
        <v>2626</v>
      </c>
    </row>
    <row r="950" spans="2:11" x14ac:dyDescent="0.3">
      <c r="B950">
        <v>9</v>
      </c>
      <c r="C950" t="s">
        <v>49</v>
      </c>
      <c r="D950" t="s">
        <v>49</v>
      </c>
      <c r="E950" t="s">
        <v>51</v>
      </c>
      <c r="F950" s="6" t="s">
        <v>2576</v>
      </c>
      <c r="G950">
        <v>12000</v>
      </c>
      <c r="H950">
        <v>12000</v>
      </c>
      <c r="I950">
        <f t="shared" si="72"/>
        <v>0</v>
      </c>
      <c r="K950" t="s">
        <v>2634</v>
      </c>
    </row>
    <row r="951" spans="2:11" x14ac:dyDescent="0.3">
      <c r="B951">
        <v>10</v>
      </c>
      <c r="C951" t="s">
        <v>68</v>
      </c>
      <c r="E951" t="s">
        <v>2607</v>
      </c>
      <c r="F951" s="6" t="s">
        <v>2576</v>
      </c>
      <c r="G951">
        <v>12000</v>
      </c>
      <c r="H951">
        <v>12000</v>
      </c>
      <c r="I951">
        <f t="shared" si="72"/>
        <v>0</v>
      </c>
      <c r="K951" t="s">
        <v>2611</v>
      </c>
    </row>
    <row r="952" spans="2:11" x14ac:dyDescent="0.3">
      <c r="B952">
        <v>11</v>
      </c>
      <c r="C952" t="s">
        <v>2608</v>
      </c>
      <c r="D952" t="s">
        <v>18</v>
      </c>
      <c r="E952" t="s">
        <v>1398</v>
      </c>
      <c r="F952" s="6" t="s">
        <v>2576</v>
      </c>
      <c r="G952">
        <v>12000</v>
      </c>
      <c r="H952">
        <v>12000</v>
      </c>
      <c r="I952">
        <f t="shared" si="72"/>
        <v>0</v>
      </c>
      <c r="K952" t="s">
        <v>2661</v>
      </c>
    </row>
    <row r="953" spans="2:11" x14ac:dyDescent="0.3">
      <c r="B953">
        <v>12</v>
      </c>
      <c r="C953" t="s">
        <v>943</v>
      </c>
      <c r="D953" t="s">
        <v>92</v>
      </c>
      <c r="E953" t="s">
        <v>12</v>
      </c>
      <c r="F953" s="6" t="s">
        <v>2576</v>
      </c>
      <c r="G953">
        <f>12000*4</f>
        <v>48000</v>
      </c>
      <c r="H953">
        <f>12000+24000+12000</f>
        <v>48000</v>
      </c>
      <c r="I953">
        <f t="shared" si="72"/>
        <v>0</v>
      </c>
      <c r="K953" t="s">
        <v>2654</v>
      </c>
    </row>
    <row r="954" spans="2:11" x14ac:dyDescent="0.3">
      <c r="B954">
        <v>13</v>
      </c>
      <c r="C954" t="s">
        <v>99</v>
      </c>
      <c r="D954" t="s">
        <v>100</v>
      </c>
      <c r="E954" t="s">
        <v>12</v>
      </c>
      <c r="F954" s="6" t="s">
        <v>2576</v>
      </c>
      <c r="G954">
        <f>12000*4</f>
        <v>48000</v>
      </c>
      <c r="H954">
        <f>25000+23000</f>
        <v>48000</v>
      </c>
      <c r="I954">
        <f t="shared" si="72"/>
        <v>0</v>
      </c>
      <c r="K954" t="s">
        <v>2658</v>
      </c>
    </row>
    <row r="955" spans="2:11" x14ac:dyDescent="0.3">
      <c r="B955">
        <v>14</v>
      </c>
      <c r="C955" t="s">
        <v>337</v>
      </c>
      <c r="D955" t="s">
        <v>338</v>
      </c>
      <c r="E955" t="s">
        <v>339</v>
      </c>
      <c r="F955" s="6" t="s">
        <v>2576</v>
      </c>
      <c r="G955">
        <v>12000</v>
      </c>
      <c r="H955">
        <v>12000</v>
      </c>
      <c r="I955">
        <f t="shared" si="72"/>
        <v>0</v>
      </c>
      <c r="K955" t="s">
        <v>2640</v>
      </c>
    </row>
    <row r="956" spans="2:11" x14ac:dyDescent="0.3">
      <c r="B956">
        <v>15</v>
      </c>
      <c r="C956" t="s">
        <v>2609</v>
      </c>
      <c r="E956" t="s">
        <v>51</v>
      </c>
      <c r="F956" s="6" t="s">
        <v>2576</v>
      </c>
      <c r="G956">
        <v>12000</v>
      </c>
      <c r="H956">
        <v>6000</v>
      </c>
      <c r="I956">
        <f t="shared" si="72"/>
        <v>6000</v>
      </c>
      <c r="K956" t="s">
        <v>2617</v>
      </c>
    </row>
    <row r="957" spans="2:11" x14ac:dyDescent="0.3">
      <c r="B957">
        <v>16</v>
      </c>
      <c r="C957" t="s">
        <v>785</v>
      </c>
      <c r="D957" t="s">
        <v>789</v>
      </c>
      <c r="E957" t="s">
        <v>12</v>
      </c>
      <c r="F957" s="6" t="s">
        <v>2576</v>
      </c>
      <c r="G957">
        <v>6000</v>
      </c>
      <c r="H957">
        <v>6000</v>
      </c>
      <c r="I957">
        <f t="shared" si="72"/>
        <v>0</v>
      </c>
      <c r="K957" t="s">
        <v>2610</v>
      </c>
    </row>
    <row r="958" spans="2:11" x14ac:dyDescent="0.3">
      <c r="B958">
        <v>17</v>
      </c>
      <c r="C958" t="s">
        <v>2437</v>
      </c>
      <c r="D958" t="s">
        <v>2118</v>
      </c>
      <c r="E958" t="s">
        <v>12</v>
      </c>
      <c r="F958" s="6" t="s">
        <v>2576</v>
      </c>
      <c r="G958">
        <f>16200+12000</f>
        <v>28200</v>
      </c>
      <c r="H958">
        <f>25000+3200</f>
        <v>28200</v>
      </c>
      <c r="I958">
        <f t="shared" si="72"/>
        <v>0</v>
      </c>
      <c r="K958" t="s">
        <v>2682</v>
      </c>
    </row>
    <row r="959" spans="2:11" x14ac:dyDescent="0.3">
      <c r="B959">
        <v>18</v>
      </c>
      <c r="C959" t="s">
        <v>1019</v>
      </c>
      <c r="D959" t="s">
        <v>1020</v>
      </c>
      <c r="E959" t="s">
        <v>1021</v>
      </c>
      <c r="F959" s="6" t="s">
        <v>2576</v>
      </c>
      <c r="G959">
        <v>12000</v>
      </c>
      <c r="H959">
        <v>12000</v>
      </c>
      <c r="I959">
        <f t="shared" si="72"/>
        <v>0</v>
      </c>
      <c r="K959" t="s">
        <v>2618</v>
      </c>
    </row>
    <row r="960" spans="2:11" x14ac:dyDescent="0.3">
      <c r="B960">
        <v>19</v>
      </c>
      <c r="C960" t="s">
        <v>955</v>
      </c>
      <c r="D960" t="s">
        <v>344</v>
      </c>
      <c r="E960" t="s">
        <v>12</v>
      </c>
      <c r="F960" s="6" t="s">
        <v>2576</v>
      </c>
      <c r="G960">
        <v>12000</v>
      </c>
      <c r="H960">
        <f>10500+1500</f>
        <v>12000</v>
      </c>
      <c r="I960">
        <f t="shared" si="72"/>
        <v>0</v>
      </c>
      <c r="K960" t="s">
        <v>2639</v>
      </c>
    </row>
    <row r="961" spans="2:11" x14ac:dyDescent="0.3">
      <c r="B961">
        <v>20</v>
      </c>
      <c r="C961" t="s">
        <v>2615</v>
      </c>
      <c r="D961" t="s">
        <v>2613</v>
      </c>
      <c r="E961" t="s">
        <v>746</v>
      </c>
      <c r="F961" s="6" t="s">
        <v>2614</v>
      </c>
      <c r="G961">
        <v>65000</v>
      </c>
      <c r="H961">
        <v>65000</v>
      </c>
      <c r="I961">
        <f t="shared" si="72"/>
        <v>0</v>
      </c>
      <c r="K961" t="s">
        <v>2616</v>
      </c>
    </row>
    <row r="962" spans="2:11" x14ac:dyDescent="0.3">
      <c r="B962">
        <v>21</v>
      </c>
      <c r="C962" t="s">
        <v>2620</v>
      </c>
      <c r="D962" t="s">
        <v>2247</v>
      </c>
      <c r="E962" t="s">
        <v>12</v>
      </c>
      <c r="F962" s="6" t="s">
        <v>2621</v>
      </c>
      <c r="G962">
        <v>30000</v>
      </c>
      <c r="H962">
        <v>30000</v>
      </c>
      <c r="I962">
        <f t="shared" si="72"/>
        <v>0</v>
      </c>
      <c r="K962" t="s">
        <v>2667</v>
      </c>
    </row>
    <row r="963" spans="2:11" x14ac:dyDescent="0.3">
      <c r="B963">
        <v>22</v>
      </c>
      <c r="C963" t="s">
        <v>2622</v>
      </c>
      <c r="D963" t="s">
        <v>2623</v>
      </c>
      <c r="E963" t="s">
        <v>12</v>
      </c>
      <c r="F963" s="6" t="s">
        <v>2621</v>
      </c>
      <c r="G963">
        <v>40000</v>
      </c>
      <c r="H963">
        <v>40000</v>
      </c>
      <c r="I963">
        <f t="shared" si="72"/>
        <v>0</v>
      </c>
      <c r="K963" t="s">
        <v>2663</v>
      </c>
    </row>
    <row r="964" spans="2:11" x14ac:dyDescent="0.3">
      <c r="B964">
        <v>23</v>
      </c>
      <c r="C964" t="s">
        <v>191</v>
      </c>
      <c r="D964" t="s">
        <v>192</v>
      </c>
      <c r="E964" t="s">
        <v>39</v>
      </c>
      <c r="F964" s="6" t="s">
        <v>2621</v>
      </c>
      <c r="G964">
        <f>8100+6000</f>
        <v>14100</v>
      </c>
      <c r="H964">
        <v>13000</v>
      </c>
      <c r="I964">
        <f t="shared" si="72"/>
        <v>1100</v>
      </c>
      <c r="K964" t="s">
        <v>2643</v>
      </c>
    </row>
    <row r="965" spans="2:11" x14ac:dyDescent="0.3">
      <c r="B965">
        <v>24</v>
      </c>
      <c r="C965" t="s">
        <v>1901</v>
      </c>
      <c r="D965" t="s">
        <v>2605</v>
      </c>
      <c r="E965" t="s">
        <v>2629</v>
      </c>
      <c r="F965" s="6" t="s">
        <v>2637</v>
      </c>
      <c r="G965">
        <v>12000</v>
      </c>
      <c r="H965">
        <v>12000</v>
      </c>
      <c r="I965">
        <f t="shared" si="72"/>
        <v>0</v>
      </c>
      <c r="K965" t="s">
        <v>2681</v>
      </c>
    </row>
    <row r="966" spans="2:11" x14ac:dyDescent="0.3">
      <c r="B966">
        <v>25</v>
      </c>
      <c r="C966" t="s">
        <v>2630</v>
      </c>
      <c r="D966" t="s">
        <v>715</v>
      </c>
      <c r="E966" t="s">
        <v>22</v>
      </c>
      <c r="F966" s="6" t="s">
        <v>2637</v>
      </c>
      <c r="G966">
        <v>12000</v>
      </c>
      <c r="H966">
        <v>12000</v>
      </c>
      <c r="I966">
        <f t="shared" si="72"/>
        <v>0</v>
      </c>
      <c r="K966" t="s">
        <v>2634</v>
      </c>
    </row>
    <row r="967" spans="2:11" x14ac:dyDescent="0.3">
      <c r="B967">
        <v>26</v>
      </c>
      <c r="C967" t="s">
        <v>1410</v>
      </c>
      <c r="D967" t="s">
        <v>1411</v>
      </c>
      <c r="E967" t="s">
        <v>12</v>
      </c>
      <c r="F967" s="6" t="s">
        <v>2637</v>
      </c>
      <c r="G967">
        <v>54720</v>
      </c>
      <c r="H967">
        <v>54720</v>
      </c>
      <c r="I967">
        <f t="shared" si="72"/>
        <v>0</v>
      </c>
      <c r="K967" t="s">
        <v>2648</v>
      </c>
    </row>
    <row r="968" spans="2:11" x14ac:dyDescent="0.3">
      <c r="B968">
        <v>27</v>
      </c>
      <c r="C968" t="s">
        <v>2633</v>
      </c>
      <c r="D968" t="s">
        <v>2631</v>
      </c>
      <c r="E968" t="s">
        <v>2632</v>
      </c>
      <c r="F968" s="6" t="s">
        <v>2637</v>
      </c>
      <c r="G968">
        <f>50000+40000</f>
        <v>90000</v>
      </c>
      <c r="H968">
        <v>50000</v>
      </c>
      <c r="I968">
        <f t="shared" si="72"/>
        <v>40000</v>
      </c>
      <c r="K968" t="s">
        <v>2785</v>
      </c>
    </row>
    <row r="969" spans="2:11" x14ac:dyDescent="0.3">
      <c r="B969">
        <v>28</v>
      </c>
      <c r="C969" t="s">
        <v>2455</v>
      </c>
      <c r="D969" t="s">
        <v>1086</v>
      </c>
      <c r="E969" t="s">
        <v>2635</v>
      </c>
      <c r="F969" s="6" t="s">
        <v>2636</v>
      </c>
      <c r="G969">
        <v>5000</v>
      </c>
      <c r="H969">
        <v>5000</v>
      </c>
      <c r="I969">
        <f t="shared" si="72"/>
        <v>0</v>
      </c>
      <c r="K969" t="s">
        <v>2638</v>
      </c>
    </row>
    <row r="970" spans="2:11" x14ac:dyDescent="0.3">
      <c r="B970">
        <v>29</v>
      </c>
      <c r="C970" t="s">
        <v>1084</v>
      </c>
      <c r="D970" t="s">
        <v>1086</v>
      </c>
      <c r="E970" t="s">
        <v>2635</v>
      </c>
      <c r="F970" s="6" t="s">
        <v>2636</v>
      </c>
      <c r="G970">
        <v>6000</v>
      </c>
      <c r="H970">
        <v>6000</v>
      </c>
      <c r="I970">
        <f t="shared" si="72"/>
        <v>0</v>
      </c>
      <c r="K970" t="s">
        <v>2674</v>
      </c>
    </row>
    <row r="971" spans="2:11" x14ac:dyDescent="0.3">
      <c r="B971">
        <v>30</v>
      </c>
      <c r="C971" t="s">
        <v>10</v>
      </c>
      <c r="D971" t="s">
        <v>11</v>
      </c>
      <c r="E971" t="s">
        <v>12</v>
      </c>
      <c r="F971" s="6" t="s">
        <v>2621</v>
      </c>
      <c r="G971">
        <v>12000</v>
      </c>
      <c r="H971">
        <v>12000</v>
      </c>
      <c r="I971">
        <f t="shared" si="72"/>
        <v>0</v>
      </c>
      <c r="K971" t="s">
        <v>2680</v>
      </c>
    </row>
    <row r="972" spans="2:11" x14ac:dyDescent="0.3">
      <c r="B972">
        <v>31</v>
      </c>
      <c r="C972" t="s">
        <v>175</v>
      </c>
      <c r="D972" t="s">
        <v>103</v>
      </c>
      <c r="E972" t="s">
        <v>46</v>
      </c>
      <c r="F972" s="6" t="s">
        <v>2641</v>
      </c>
      <c r="G972">
        <v>6000</v>
      </c>
      <c r="H972">
        <v>6000</v>
      </c>
      <c r="I972">
        <f t="shared" si="72"/>
        <v>0</v>
      </c>
      <c r="K972" t="s">
        <v>2642</v>
      </c>
    </row>
    <row r="973" spans="2:11" x14ac:dyDescent="0.3">
      <c r="B973">
        <v>32</v>
      </c>
      <c r="C973" t="s">
        <v>2644</v>
      </c>
      <c r="D973" t="s">
        <v>2269</v>
      </c>
      <c r="E973" t="s">
        <v>339</v>
      </c>
      <c r="F973" s="5" t="s">
        <v>2646</v>
      </c>
      <c r="G973">
        <v>8000</v>
      </c>
      <c r="H973">
        <v>8000</v>
      </c>
      <c r="I973">
        <f t="shared" si="72"/>
        <v>0</v>
      </c>
      <c r="K973" t="s">
        <v>2645</v>
      </c>
    </row>
    <row r="974" spans="2:11" x14ac:dyDescent="0.3">
      <c r="B974">
        <v>33</v>
      </c>
      <c r="C974" t="s">
        <v>2550</v>
      </c>
      <c r="D974" t="s">
        <v>654</v>
      </c>
      <c r="E974" t="s">
        <v>746</v>
      </c>
      <c r="F974" s="6" t="s">
        <v>2551</v>
      </c>
      <c r="G974">
        <v>80000</v>
      </c>
      <c r="H974">
        <f>30000+30000+20000</f>
        <v>80000</v>
      </c>
      <c r="I974">
        <f t="shared" si="72"/>
        <v>0</v>
      </c>
      <c r="K974" t="s">
        <v>2650</v>
      </c>
    </row>
    <row r="975" spans="2:11" x14ac:dyDescent="0.3">
      <c r="B975">
        <v>34</v>
      </c>
      <c r="C975" t="s">
        <v>2652</v>
      </c>
      <c r="D975" t="s">
        <v>18</v>
      </c>
      <c r="E975" t="s">
        <v>12</v>
      </c>
      <c r="F975" s="6" t="s">
        <v>2653</v>
      </c>
      <c r="G975">
        <v>70000</v>
      </c>
      <c r="H975">
        <v>70000</v>
      </c>
      <c r="I975">
        <f t="shared" si="72"/>
        <v>0</v>
      </c>
      <c r="K975" t="s">
        <v>2655</v>
      </c>
    </row>
    <row r="976" spans="2:11" x14ac:dyDescent="0.3">
      <c r="B976">
        <v>35</v>
      </c>
      <c r="C976" t="s">
        <v>1403</v>
      </c>
      <c r="D976" t="s">
        <v>1086</v>
      </c>
      <c r="E976" t="s">
        <v>746</v>
      </c>
      <c r="F976" s="6" t="s">
        <v>2659</v>
      </c>
      <c r="G976">
        <v>12000</v>
      </c>
      <c r="H976">
        <v>12000</v>
      </c>
      <c r="I976">
        <f t="shared" si="72"/>
        <v>0</v>
      </c>
      <c r="K976" t="s">
        <v>2567</v>
      </c>
    </row>
    <row r="977" spans="2:11" x14ac:dyDescent="0.3">
      <c r="B977">
        <v>36</v>
      </c>
      <c r="C977" t="s">
        <v>9</v>
      </c>
      <c r="D977" t="s">
        <v>14</v>
      </c>
      <c r="E977" t="s">
        <v>12</v>
      </c>
      <c r="F977" s="6" t="s">
        <v>2666</v>
      </c>
      <c r="G977">
        <f>9*1100*12</f>
        <v>118800</v>
      </c>
      <c r="H977">
        <v>100000</v>
      </c>
      <c r="I977">
        <f t="shared" si="72"/>
        <v>18800</v>
      </c>
      <c r="K977" t="s">
        <v>2662</v>
      </c>
    </row>
    <row r="978" spans="2:11" x14ac:dyDescent="0.3">
      <c r="B978">
        <v>37</v>
      </c>
      <c r="C978" t="s">
        <v>2664</v>
      </c>
      <c r="D978" t="s">
        <v>2179</v>
      </c>
      <c r="E978" t="s">
        <v>888</v>
      </c>
      <c r="F978" s="6" t="s">
        <v>2665</v>
      </c>
      <c r="G978">
        <v>40000</v>
      </c>
      <c r="H978">
        <v>40000</v>
      </c>
      <c r="I978">
        <f t="shared" si="72"/>
        <v>0</v>
      </c>
      <c r="K978" t="s">
        <v>2677</v>
      </c>
    </row>
    <row r="979" spans="2:11" x14ac:dyDescent="0.3">
      <c r="B979">
        <v>38</v>
      </c>
      <c r="C979" t="s">
        <v>954</v>
      </c>
      <c r="E979" t="s">
        <v>106</v>
      </c>
      <c r="F979" s="6" t="s">
        <v>2671</v>
      </c>
      <c r="G979">
        <v>12000</v>
      </c>
      <c r="H979">
        <v>12000</v>
      </c>
      <c r="I979">
        <f t="shared" si="72"/>
        <v>0</v>
      </c>
      <c r="K979" t="s">
        <v>2672</v>
      </c>
    </row>
    <row r="980" spans="2:11" x14ac:dyDescent="0.3">
      <c r="E980" s="120" t="s">
        <v>2668</v>
      </c>
      <c r="F980" s="121"/>
      <c r="G980" s="121"/>
      <c r="H980" s="49">
        <f>SUM(H942:H979)</f>
        <v>960055</v>
      </c>
    </row>
    <row r="982" spans="2:11" x14ac:dyDescent="0.3">
      <c r="B982">
        <v>1</v>
      </c>
      <c r="C982" t="s">
        <v>2436</v>
      </c>
      <c r="D982" t="s">
        <v>2371</v>
      </c>
      <c r="E982" t="s">
        <v>7</v>
      </c>
      <c r="F982" s="6" t="s">
        <v>2670</v>
      </c>
      <c r="G982">
        <v>32000</v>
      </c>
      <c r="H982">
        <f>12000+20000</f>
        <v>32000</v>
      </c>
      <c r="I982">
        <f t="shared" ref="I982:I991" si="73">G982-H982</f>
        <v>0</v>
      </c>
      <c r="K982" t="s">
        <v>2813</v>
      </c>
    </row>
    <row r="983" spans="2:11" x14ac:dyDescent="0.3">
      <c r="B983">
        <v>2</v>
      </c>
      <c r="C983" t="s">
        <v>2679</v>
      </c>
      <c r="D983" t="s">
        <v>1214</v>
      </c>
      <c r="E983" t="s">
        <v>12</v>
      </c>
      <c r="F983" s="6" t="s">
        <v>2646</v>
      </c>
      <c r="G983">
        <f>50000+15000+15000</f>
        <v>80000</v>
      </c>
      <c r="H983">
        <f>35000+20000+15000</f>
        <v>70000</v>
      </c>
      <c r="I983">
        <f t="shared" si="73"/>
        <v>10000</v>
      </c>
      <c r="K983" t="s">
        <v>2849</v>
      </c>
    </row>
    <row r="984" spans="2:11" x14ac:dyDescent="0.3">
      <c r="B984">
        <v>3</v>
      </c>
      <c r="C984" t="s">
        <v>1901</v>
      </c>
      <c r="D984" t="s">
        <v>2684</v>
      </c>
      <c r="E984" t="s">
        <v>131</v>
      </c>
      <c r="F984" s="6" t="s">
        <v>2162</v>
      </c>
      <c r="G984">
        <v>31200</v>
      </c>
      <c r="H984">
        <v>31200</v>
      </c>
      <c r="I984">
        <f t="shared" si="73"/>
        <v>0</v>
      </c>
      <c r="K984" t="s">
        <v>2685</v>
      </c>
    </row>
    <row r="985" spans="2:11" x14ac:dyDescent="0.3">
      <c r="B985">
        <v>4</v>
      </c>
      <c r="C985" t="s">
        <v>2687</v>
      </c>
      <c r="D985" t="s">
        <v>2371</v>
      </c>
      <c r="E985" t="s">
        <v>746</v>
      </c>
      <c r="F985" s="6" t="s">
        <v>2162</v>
      </c>
      <c r="G985">
        <v>5000</v>
      </c>
      <c r="H985">
        <v>5000</v>
      </c>
      <c r="I985">
        <f t="shared" si="73"/>
        <v>0</v>
      </c>
      <c r="K985" t="s">
        <v>2688</v>
      </c>
    </row>
    <row r="986" spans="2:11" x14ac:dyDescent="0.3">
      <c r="B986">
        <v>5</v>
      </c>
      <c r="C986" t="s">
        <v>1224</v>
      </c>
      <c r="D986" t="s">
        <v>1225</v>
      </c>
      <c r="E986" t="s">
        <v>12</v>
      </c>
      <c r="F986" s="6" t="s">
        <v>2689</v>
      </c>
      <c r="G986">
        <v>75200</v>
      </c>
      <c r="H986">
        <v>75200</v>
      </c>
      <c r="I986">
        <f t="shared" si="73"/>
        <v>0</v>
      </c>
      <c r="K986" t="s">
        <v>2690</v>
      </c>
    </row>
    <row r="987" spans="2:11" x14ac:dyDescent="0.3">
      <c r="B987">
        <v>6</v>
      </c>
      <c r="C987" t="s">
        <v>2693</v>
      </c>
      <c r="D987" t="s">
        <v>457</v>
      </c>
      <c r="E987" t="s">
        <v>43</v>
      </c>
      <c r="F987" s="6" t="s">
        <v>2694</v>
      </c>
      <c r="G987">
        <f>95000+18000-3000</f>
        <v>110000</v>
      </c>
      <c r="H987">
        <f>50000+15000+45000</f>
        <v>110000</v>
      </c>
      <c r="I987">
        <f t="shared" si="73"/>
        <v>0</v>
      </c>
      <c r="K987" t="s">
        <v>2800</v>
      </c>
    </row>
    <row r="988" spans="2:11" x14ac:dyDescent="0.3">
      <c r="B988">
        <v>7</v>
      </c>
      <c r="C988" t="s">
        <v>2695</v>
      </c>
      <c r="D988" t="s">
        <v>2696</v>
      </c>
      <c r="E988" t="s">
        <v>12</v>
      </c>
      <c r="F988" s="6" t="s">
        <v>2659</v>
      </c>
      <c r="G988">
        <f>170000+104000</f>
        <v>274000</v>
      </c>
      <c r="I988">
        <f t="shared" si="73"/>
        <v>274000</v>
      </c>
      <c r="K988" t="s">
        <v>2697</v>
      </c>
    </row>
    <row r="989" spans="2:11" x14ac:dyDescent="0.3">
      <c r="B989">
        <v>8</v>
      </c>
      <c r="C989" t="s">
        <v>2698</v>
      </c>
      <c r="D989" t="s">
        <v>2699</v>
      </c>
      <c r="E989" t="s">
        <v>12</v>
      </c>
      <c r="F989" s="6" t="s">
        <v>2700</v>
      </c>
      <c r="G989">
        <v>390000</v>
      </c>
      <c r="H989">
        <f>195000+195000</f>
        <v>390000</v>
      </c>
      <c r="I989">
        <f t="shared" si="73"/>
        <v>0</v>
      </c>
      <c r="K989" t="s">
        <v>2736</v>
      </c>
    </row>
    <row r="990" spans="2:11" x14ac:dyDescent="0.3">
      <c r="B990">
        <v>9</v>
      </c>
      <c r="C990" t="s">
        <v>2703</v>
      </c>
      <c r="D990" t="s">
        <v>2704</v>
      </c>
      <c r="E990" t="s">
        <v>746</v>
      </c>
      <c r="F990" s="6" t="s">
        <v>2278</v>
      </c>
      <c r="G990">
        <v>12000</v>
      </c>
      <c r="H990">
        <f>6000+6000</f>
        <v>12000</v>
      </c>
      <c r="I990">
        <f t="shared" si="73"/>
        <v>0</v>
      </c>
      <c r="K990" t="s">
        <v>2725</v>
      </c>
    </row>
    <row r="991" spans="2:11" x14ac:dyDescent="0.3">
      <c r="B991">
        <v>10</v>
      </c>
      <c r="C991" t="s">
        <v>1089</v>
      </c>
      <c r="D991" t="s">
        <v>2705</v>
      </c>
      <c r="E991" t="s">
        <v>2706</v>
      </c>
      <c r="F991" s="6" t="s">
        <v>2278</v>
      </c>
      <c r="G991">
        <f>12000+1500</f>
        <v>13500</v>
      </c>
      <c r="H991">
        <v>13500</v>
      </c>
      <c r="I991">
        <f t="shared" si="73"/>
        <v>0</v>
      </c>
      <c r="K991" t="s">
        <v>2707</v>
      </c>
    </row>
    <row r="992" spans="2:11" x14ac:dyDescent="0.3">
      <c r="E992" s="120" t="s">
        <v>2708</v>
      </c>
      <c r="F992" s="121"/>
      <c r="G992" s="121"/>
      <c r="H992" s="49">
        <f>SUM(H982:H991)</f>
        <v>738900</v>
      </c>
    </row>
    <row r="994" spans="2:11" x14ac:dyDescent="0.3">
      <c r="B994">
        <v>1</v>
      </c>
      <c r="C994" t="s">
        <v>2709</v>
      </c>
      <c r="D994" t="s">
        <v>2247</v>
      </c>
      <c r="E994" t="s">
        <v>690</v>
      </c>
      <c r="F994" s="6" t="s">
        <v>2710</v>
      </c>
      <c r="G994">
        <v>24000</v>
      </c>
      <c r="H994">
        <v>24000</v>
      </c>
      <c r="I994">
        <f t="shared" ref="I994:I1007" si="74">G994-H994</f>
        <v>0</v>
      </c>
      <c r="K994" t="s">
        <v>2711</v>
      </c>
    </row>
    <row r="995" spans="2:11" x14ac:dyDescent="0.3">
      <c r="B995">
        <v>2</v>
      </c>
      <c r="C995" t="s">
        <v>473</v>
      </c>
      <c r="D995" t="s">
        <v>119</v>
      </c>
      <c r="E995" t="s">
        <v>7</v>
      </c>
      <c r="F995" s="6" t="s">
        <v>2710</v>
      </c>
      <c r="G995">
        <v>6000</v>
      </c>
      <c r="H995">
        <v>6000</v>
      </c>
      <c r="I995">
        <f t="shared" si="74"/>
        <v>0</v>
      </c>
      <c r="K995" t="s">
        <v>2712</v>
      </c>
    </row>
    <row r="996" spans="2:11" x14ac:dyDescent="0.3">
      <c r="B996">
        <v>3</v>
      </c>
      <c r="C996" t="s">
        <v>695</v>
      </c>
      <c r="D996" t="s">
        <v>1202</v>
      </c>
      <c r="E996" t="s">
        <v>12</v>
      </c>
      <c r="F996" s="6" t="s">
        <v>2710</v>
      </c>
      <c r="G996">
        <f>80000*3+6000</f>
        <v>246000</v>
      </c>
      <c r="H996">
        <f>150000+96000</f>
        <v>246000</v>
      </c>
      <c r="I996">
        <f t="shared" si="74"/>
        <v>0</v>
      </c>
      <c r="K996" t="s">
        <v>2724</v>
      </c>
    </row>
    <row r="997" spans="2:11" x14ac:dyDescent="0.3">
      <c r="B997">
        <v>4</v>
      </c>
      <c r="C997" t="s">
        <v>2550</v>
      </c>
      <c r="D997" t="s">
        <v>654</v>
      </c>
      <c r="E997" t="s">
        <v>746</v>
      </c>
      <c r="F997" s="6" t="s">
        <v>2717</v>
      </c>
      <c r="G997">
        <v>80000</v>
      </c>
      <c r="H997">
        <f>30000+30000+20000</f>
        <v>80000</v>
      </c>
      <c r="I997">
        <f t="shared" si="74"/>
        <v>0</v>
      </c>
      <c r="K997" t="s">
        <v>2718</v>
      </c>
    </row>
    <row r="998" spans="2:11" x14ac:dyDescent="0.3">
      <c r="B998">
        <v>5</v>
      </c>
      <c r="C998" t="s">
        <v>2720</v>
      </c>
      <c r="D998" t="s">
        <v>2721</v>
      </c>
      <c r="E998" t="s">
        <v>690</v>
      </c>
      <c r="F998" s="6" t="s">
        <v>2722</v>
      </c>
      <c r="G998">
        <f>20000-5000</f>
        <v>15000</v>
      </c>
      <c r="H998">
        <v>15000</v>
      </c>
      <c r="I998">
        <f t="shared" si="74"/>
        <v>0</v>
      </c>
      <c r="K998" t="s">
        <v>2723</v>
      </c>
    </row>
    <row r="999" spans="2:11" x14ac:dyDescent="0.3">
      <c r="B999">
        <v>6</v>
      </c>
      <c r="C999" t="s">
        <v>1538</v>
      </c>
      <c r="D999" t="s">
        <v>1539</v>
      </c>
      <c r="E999" t="s">
        <v>143</v>
      </c>
      <c r="F999" s="6" t="s">
        <v>2726</v>
      </c>
      <c r="G999">
        <v>30000</v>
      </c>
      <c r="H999">
        <v>30000</v>
      </c>
      <c r="I999">
        <f t="shared" si="74"/>
        <v>0</v>
      </c>
      <c r="K999" t="s">
        <v>2727</v>
      </c>
    </row>
    <row r="1000" spans="2:11" x14ac:dyDescent="0.3">
      <c r="B1000">
        <v>7</v>
      </c>
      <c r="C1000" t="s">
        <v>761</v>
      </c>
      <c r="D1000" t="s">
        <v>2728</v>
      </c>
      <c r="E1000" t="s">
        <v>762</v>
      </c>
      <c r="F1000" s="6" t="s">
        <v>2399</v>
      </c>
      <c r="G1000">
        <v>45000</v>
      </c>
      <c r="H1000">
        <v>45000</v>
      </c>
      <c r="I1000">
        <f t="shared" si="74"/>
        <v>0</v>
      </c>
      <c r="K1000" t="s">
        <v>2729</v>
      </c>
    </row>
    <row r="1001" spans="2:11" x14ac:dyDescent="0.3">
      <c r="B1001">
        <v>8</v>
      </c>
      <c r="C1001" t="s">
        <v>2401</v>
      </c>
      <c r="D1001" t="s">
        <v>2179</v>
      </c>
      <c r="E1001" t="s">
        <v>888</v>
      </c>
      <c r="F1001" s="6" t="s">
        <v>2731</v>
      </c>
      <c r="G1001">
        <v>75600</v>
      </c>
      <c r="H1001">
        <v>75600</v>
      </c>
      <c r="I1001">
        <f t="shared" si="74"/>
        <v>0</v>
      </c>
      <c r="K1001" t="s">
        <v>2732</v>
      </c>
    </row>
    <row r="1002" spans="2:11" x14ac:dyDescent="0.3">
      <c r="B1002">
        <v>9</v>
      </c>
      <c r="C1002" t="s">
        <v>2737</v>
      </c>
      <c r="D1002" t="s">
        <v>488</v>
      </c>
      <c r="E1002" t="s">
        <v>106</v>
      </c>
      <c r="F1002" s="6" t="s">
        <v>2738</v>
      </c>
      <c r="G1002">
        <v>16800</v>
      </c>
      <c r="H1002">
        <v>16800</v>
      </c>
      <c r="I1002">
        <f t="shared" si="74"/>
        <v>0</v>
      </c>
      <c r="K1002" t="s">
        <v>2740</v>
      </c>
    </row>
    <row r="1003" spans="2:11" x14ac:dyDescent="0.3">
      <c r="B1003">
        <v>10</v>
      </c>
      <c r="C1003" t="s">
        <v>2741</v>
      </c>
      <c r="D1003" t="s">
        <v>2742</v>
      </c>
      <c r="E1003" t="s">
        <v>12</v>
      </c>
      <c r="F1003" s="6" t="s">
        <v>2738</v>
      </c>
      <c r="G1003">
        <f>35000+12000-2000</f>
        <v>45000</v>
      </c>
      <c r="H1003">
        <f>20000+25000</f>
        <v>45000</v>
      </c>
      <c r="I1003">
        <f t="shared" si="74"/>
        <v>0</v>
      </c>
      <c r="K1003" t="s">
        <v>2743</v>
      </c>
    </row>
    <row r="1004" spans="2:11" x14ac:dyDescent="0.3">
      <c r="B1004">
        <v>11</v>
      </c>
      <c r="C1004" t="s">
        <v>2744</v>
      </c>
      <c r="D1004" t="s">
        <v>2745</v>
      </c>
      <c r="E1004" t="s">
        <v>12</v>
      </c>
      <c r="F1004" s="6" t="s">
        <v>2746</v>
      </c>
      <c r="G1004">
        <f>30000+9000</f>
        <v>39000</v>
      </c>
      <c r="H1004">
        <f>30000+9000</f>
        <v>39000</v>
      </c>
      <c r="I1004">
        <f t="shared" si="74"/>
        <v>0</v>
      </c>
      <c r="K1004" t="s">
        <v>2778</v>
      </c>
    </row>
    <row r="1005" spans="2:11" x14ac:dyDescent="0.3">
      <c r="B1005">
        <v>12</v>
      </c>
      <c r="C1005" t="s">
        <v>1604</v>
      </c>
      <c r="D1005" t="s">
        <v>2216</v>
      </c>
      <c r="E1005" t="s">
        <v>773</v>
      </c>
      <c r="F1005" s="6" t="s">
        <v>2747</v>
      </c>
      <c r="G1005">
        <v>28200</v>
      </c>
      <c r="H1005">
        <v>28200</v>
      </c>
      <c r="I1005">
        <f t="shared" si="74"/>
        <v>0</v>
      </c>
      <c r="K1005" t="s">
        <v>2749</v>
      </c>
    </row>
    <row r="1006" spans="2:11" x14ac:dyDescent="0.3">
      <c r="B1006">
        <v>13</v>
      </c>
      <c r="C1006" t="s">
        <v>2748</v>
      </c>
      <c r="D1006" t="s">
        <v>926</v>
      </c>
      <c r="E1006" t="s">
        <v>12</v>
      </c>
      <c r="F1006" s="6" t="s">
        <v>2747</v>
      </c>
      <c r="H1006">
        <v>50000</v>
      </c>
      <c r="I1006">
        <f t="shared" si="74"/>
        <v>-50000</v>
      </c>
      <c r="K1006" t="s">
        <v>2750</v>
      </c>
    </row>
    <row r="1007" spans="2:11" x14ac:dyDescent="0.3">
      <c r="B1007">
        <v>14</v>
      </c>
      <c r="C1007" t="s">
        <v>2249</v>
      </c>
      <c r="D1007" t="s">
        <v>18</v>
      </c>
      <c r="E1007" t="s">
        <v>12</v>
      </c>
      <c r="F1007" s="6" t="s">
        <v>2747</v>
      </c>
      <c r="G1007">
        <v>30000</v>
      </c>
      <c r="H1007">
        <v>30000</v>
      </c>
      <c r="I1007">
        <f t="shared" si="74"/>
        <v>0</v>
      </c>
      <c r="K1007" t="s">
        <v>2751</v>
      </c>
    </row>
    <row r="1008" spans="2:11" x14ac:dyDescent="0.3">
      <c r="E1008" s="120" t="s">
        <v>2753</v>
      </c>
      <c r="F1008" s="121"/>
      <c r="G1008" s="121"/>
      <c r="H1008" s="49">
        <f>SUM(H994:H1007)</f>
        <v>730600</v>
      </c>
    </row>
    <row r="1010" spans="2:11" x14ac:dyDescent="0.3">
      <c r="B1010">
        <v>1</v>
      </c>
      <c r="C1010" t="s">
        <v>2210</v>
      </c>
      <c r="E1010" t="s">
        <v>22</v>
      </c>
      <c r="F1010" s="6" t="s">
        <v>2754</v>
      </c>
      <c r="G1010">
        <v>12000</v>
      </c>
      <c r="H1010">
        <v>12000</v>
      </c>
      <c r="I1010">
        <f t="shared" ref="I1010:I1026" si="75">G1010-H1010</f>
        <v>0</v>
      </c>
      <c r="K1010" t="s">
        <v>2757</v>
      </c>
    </row>
    <row r="1011" spans="2:11" x14ac:dyDescent="0.3">
      <c r="B1011">
        <v>2</v>
      </c>
      <c r="C1011" t="s">
        <v>2755</v>
      </c>
      <c r="D1011" t="s">
        <v>2213</v>
      </c>
      <c r="E1011" t="s">
        <v>46</v>
      </c>
      <c r="F1011" s="6" t="s">
        <v>2754</v>
      </c>
      <c r="G1011">
        <v>12000</v>
      </c>
      <c r="H1011">
        <v>12000</v>
      </c>
      <c r="I1011">
        <f t="shared" si="75"/>
        <v>0</v>
      </c>
      <c r="K1011" t="s">
        <v>2768</v>
      </c>
    </row>
    <row r="1012" spans="2:11" x14ac:dyDescent="0.3">
      <c r="B1012">
        <v>3</v>
      </c>
      <c r="C1012" t="s">
        <v>1270</v>
      </c>
      <c r="D1012" t="s">
        <v>1406</v>
      </c>
      <c r="E1012" t="s">
        <v>1271</v>
      </c>
      <c r="F1012" s="6" t="s">
        <v>2754</v>
      </c>
      <c r="G1012">
        <v>7200</v>
      </c>
      <c r="H1012">
        <v>7200</v>
      </c>
      <c r="I1012">
        <f t="shared" si="75"/>
        <v>0</v>
      </c>
      <c r="K1012" t="s">
        <v>2775</v>
      </c>
    </row>
    <row r="1013" spans="2:11" x14ac:dyDescent="0.3">
      <c r="B1013">
        <v>4</v>
      </c>
      <c r="C1013" t="s">
        <v>2756</v>
      </c>
      <c r="D1013" t="s">
        <v>1539</v>
      </c>
      <c r="E1013" t="s">
        <v>143</v>
      </c>
      <c r="F1013" s="6" t="s">
        <v>2754</v>
      </c>
      <c r="G1013">
        <f>35000+12000+15000+16200-200</f>
        <v>78000</v>
      </c>
      <c r="H1013">
        <v>78000</v>
      </c>
      <c r="I1013">
        <f t="shared" si="75"/>
        <v>0</v>
      </c>
      <c r="K1013" t="s">
        <v>2773</v>
      </c>
    </row>
    <row r="1014" spans="2:11" x14ac:dyDescent="0.3">
      <c r="B1014">
        <v>5</v>
      </c>
      <c r="C1014" t="s">
        <v>1627</v>
      </c>
      <c r="D1014" t="s">
        <v>126</v>
      </c>
      <c r="E1014" t="s">
        <v>39</v>
      </c>
      <c r="F1014" s="6" t="s">
        <v>2758</v>
      </c>
      <c r="G1014">
        <f>1650*6</f>
        <v>9900</v>
      </c>
      <c r="H1014">
        <v>9900</v>
      </c>
      <c r="I1014">
        <f t="shared" si="75"/>
        <v>0</v>
      </c>
      <c r="K1014" t="s">
        <v>2784</v>
      </c>
    </row>
    <row r="1015" spans="2:11" x14ac:dyDescent="0.3">
      <c r="B1015">
        <v>6</v>
      </c>
      <c r="C1015" t="s">
        <v>2759</v>
      </c>
      <c r="D1015" t="s">
        <v>654</v>
      </c>
      <c r="E1015" t="s">
        <v>746</v>
      </c>
      <c r="F1015" s="6" t="s">
        <v>2760</v>
      </c>
      <c r="G1015">
        <v>60000</v>
      </c>
      <c r="H1015">
        <v>60000</v>
      </c>
      <c r="I1015">
        <f t="shared" si="75"/>
        <v>0</v>
      </c>
      <c r="K1015" t="s">
        <v>2761</v>
      </c>
    </row>
    <row r="1016" spans="2:11" x14ac:dyDescent="0.3">
      <c r="B1016">
        <v>7</v>
      </c>
      <c r="C1016" t="s">
        <v>2762</v>
      </c>
      <c r="D1016" t="s">
        <v>2763</v>
      </c>
      <c r="E1016" t="s">
        <v>746</v>
      </c>
      <c r="F1016" s="6" t="s">
        <v>2760</v>
      </c>
      <c r="G1016">
        <v>10000</v>
      </c>
      <c r="H1016">
        <v>10000</v>
      </c>
      <c r="I1016">
        <f t="shared" si="75"/>
        <v>0</v>
      </c>
      <c r="K1016" t="s">
        <v>2764</v>
      </c>
    </row>
    <row r="1017" spans="2:11" x14ac:dyDescent="0.3">
      <c r="B1017">
        <v>8</v>
      </c>
      <c r="C1017" t="s">
        <v>2766</v>
      </c>
      <c r="D1017" t="s">
        <v>1278</v>
      </c>
      <c r="E1017" t="s">
        <v>12</v>
      </c>
      <c r="F1017" s="6" t="s">
        <v>2760</v>
      </c>
      <c r="G1017">
        <f>8100+6000-100</f>
        <v>14000</v>
      </c>
      <c r="H1017">
        <f>14000</f>
        <v>14000</v>
      </c>
      <c r="I1017">
        <f t="shared" si="75"/>
        <v>0</v>
      </c>
      <c r="K1017" t="s">
        <v>2767</v>
      </c>
    </row>
    <row r="1018" spans="2:11" x14ac:dyDescent="0.3">
      <c r="B1018">
        <v>9</v>
      </c>
      <c r="C1018" t="s">
        <v>2769</v>
      </c>
      <c r="D1018" t="s">
        <v>2770</v>
      </c>
      <c r="E1018" t="s">
        <v>12</v>
      </c>
      <c r="F1018" s="6" t="s">
        <v>2771</v>
      </c>
      <c r="G1018">
        <v>32000</v>
      </c>
      <c r="H1018">
        <v>32000</v>
      </c>
      <c r="I1018">
        <f t="shared" si="75"/>
        <v>0</v>
      </c>
      <c r="K1018" t="s">
        <v>2772</v>
      </c>
    </row>
    <row r="1019" spans="2:11" x14ac:dyDescent="0.3">
      <c r="B1019">
        <v>10</v>
      </c>
      <c r="C1019" t="s">
        <v>2777</v>
      </c>
      <c r="D1019" t="s">
        <v>14</v>
      </c>
      <c r="E1019" t="s">
        <v>12</v>
      </c>
      <c r="F1019" s="6" t="s">
        <v>2776</v>
      </c>
      <c r="G1019">
        <v>70000</v>
      </c>
      <c r="H1019">
        <v>70000</v>
      </c>
      <c r="I1019">
        <f t="shared" si="75"/>
        <v>0</v>
      </c>
      <c r="K1019" t="s">
        <v>2781</v>
      </c>
    </row>
    <row r="1020" spans="2:11" x14ac:dyDescent="0.3">
      <c r="B1020">
        <v>11</v>
      </c>
      <c r="C1020" t="s">
        <v>1089</v>
      </c>
      <c r="D1020" t="s">
        <v>2705</v>
      </c>
      <c r="E1020" t="s">
        <v>438</v>
      </c>
      <c r="F1020" s="6" t="s">
        <v>2779</v>
      </c>
      <c r="G1020">
        <f>15000+16200</f>
        <v>31200</v>
      </c>
      <c r="H1020">
        <f>15000+13000+3200</f>
        <v>31200</v>
      </c>
      <c r="I1020">
        <f t="shared" si="75"/>
        <v>0</v>
      </c>
      <c r="K1020" t="s">
        <v>2827</v>
      </c>
    </row>
    <row r="1021" spans="2:11" x14ac:dyDescent="0.3">
      <c r="B1021">
        <v>12</v>
      </c>
      <c r="C1021" t="s">
        <v>2782</v>
      </c>
      <c r="D1021" t="s">
        <v>1654</v>
      </c>
      <c r="E1021" t="s">
        <v>60</v>
      </c>
      <c r="F1021" s="6" t="s">
        <v>2783</v>
      </c>
      <c r="G1021">
        <f>30000+6000</f>
        <v>36000</v>
      </c>
      <c r="H1021">
        <v>36000</v>
      </c>
      <c r="I1021">
        <f t="shared" si="75"/>
        <v>0</v>
      </c>
      <c r="K1021" t="s">
        <v>2797</v>
      </c>
    </row>
    <row r="1022" spans="2:11" x14ac:dyDescent="0.3">
      <c r="B1022">
        <v>13</v>
      </c>
      <c r="C1022" t="s">
        <v>1247</v>
      </c>
      <c r="D1022" t="s">
        <v>1711</v>
      </c>
      <c r="E1022" t="s">
        <v>12</v>
      </c>
      <c r="F1022" s="6" t="s">
        <v>2783</v>
      </c>
      <c r="G1022">
        <f>15000+5000</f>
        <v>20000</v>
      </c>
      <c r="H1022">
        <v>20000</v>
      </c>
      <c r="I1022">
        <f t="shared" si="75"/>
        <v>0</v>
      </c>
      <c r="K1022" t="s">
        <v>2788</v>
      </c>
    </row>
    <row r="1023" spans="2:11" x14ac:dyDescent="0.3">
      <c r="B1023">
        <v>14</v>
      </c>
      <c r="C1023" t="s">
        <v>1628</v>
      </c>
      <c r="D1023" t="s">
        <v>926</v>
      </c>
      <c r="E1023" t="s">
        <v>46</v>
      </c>
      <c r="F1023" s="6" t="s">
        <v>2787</v>
      </c>
      <c r="G1023">
        <v>31800</v>
      </c>
      <c r="H1023">
        <v>31800</v>
      </c>
      <c r="I1023">
        <f t="shared" si="75"/>
        <v>0</v>
      </c>
      <c r="K1023" t="s">
        <v>2789</v>
      </c>
    </row>
    <row r="1024" spans="2:11" x14ac:dyDescent="0.3">
      <c r="B1024">
        <v>15</v>
      </c>
      <c r="C1024" t="s">
        <v>2792</v>
      </c>
      <c r="D1024" t="s">
        <v>2793</v>
      </c>
      <c r="E1024" t="s">
        <v>12</v>
      </c>
      <c r="F1024" s="6" t="s">
        <v>2794</v>
      </c>
      <c r="G1024">
        <f>6000-1000</f>
        <v>5000</v>
      </c>
      <c r="H1024">
        <v>5000</v>
      </c>
      <c r="I1024">
        <f t="shared" si="75"/>
        <v>0</v>
      </c>
      <c r="K1024" t="s">
        <v>2799</v>
      </c>
    </row>
    <row r="1025" spans="2:11" x14ac:dyDescent="0.3">
      <c r="B1025">
        <v>16</v>
      </c>
      <c r="C1025" t="s">
        <v>1089</v>
      </c>
      <c r="D1025" t="s">
        <v>1090</v>
      </c>
      <c r="E1025" t="s">
        <v>1091</v>
      </c>
      <c r="F1025" s="6" t="s">
        <v>2795</v>
      </c>
      <c r="G1025">
        <v>5000</v>
      </c>
      <c r="H1025">
        <v>5000</v>
      </c>
      <c r="I1025">
        <f t="shared" si="75"/>
        <v>0</v>
      </c>
      <c r="K1025" t="s">
        <v>2796</v>
      </c>
    </row>
    <row r="1026" spans="2:11" x14ac:dyDescent="0.3">
      <c r="B1026">
        <v>17</v>
      </c>
      <c r="C1026" t="s">
        <v>2418</v>
      </c>
      <c r="D1026" t="s">
        <v>1406</v>
      </c>
      <c r="E1026" t="s">
        <v>131</v>
      </c>
      <c r="F1026" s="6" t="s">
        <v>2795</v>
      </c>
      <c r="G1026">
        <f>12000+5000+15000</f>
        <v>32000</v>
      </c>
      <c r="H1026">
        <f>15000+7000</f>
        <v>22000</v>
      </c>
      <c r="I1026">
        <f t="shared" si="75"/>
        <v>10000</v>
      </c>
      <c r="K1026" t="s">
        <v>2814</v>
      </c>
    </row>
    <row r="1027" spans="2:11" x14ac:dyDescent="0.3">
      <c r="B1027">
        <v>18</v>
      </c>
      <c r="C1027" t="s">
        <v>2419</v>
      </c>
      <c r="D1027" t="s">
        <v>164</v>
      </c>
      <c r="E1027" t="s">
        <v>131</v>
      </c>
      <c r="F1027" s="6" t="s">
        <v>2795</v>
      </c>
      <c r="G1027">
        <v>12000</v>
      </c>
      <c r="H1027">
        <v>12000</v>
      </c>
      <c r="I1027">
        <f t="shared" ref="I1027:I1036" si="76">G1027-H1027</f>
        <v>0</v>
      </c>
      <c r="K1027" t="s">
        <v>2798</v>
      </c>
    </row>
    <row r="1028" spans="2:11" x14ac:dyDescent="0.3">
      <c r="B1028">
        <v>19</v>
      </c>
      <c r="C1028" t="s">
        <v>2238</v>
      </c>
      <c r="D1028" t="s">
        <v>1460</v>
      </c>
      <c r="E1028" t="s">
        <v>2239</v>
      </c>
      <c r="F1028" s="6" t="s">
        <v>2801</v>
      </c>
      <c r="G1028">
        <f>12000+17760</f>
        <v>29760</v>
      </c>
      <c r="H1028">
        <v>29500</v>
      </c>
      <c r="I1028">
        <f t="shared" si="76"/>
        <v>260</v>
      </c>
      <c r="K1028" t="s">
        <v>2823</v>
      </c>
    </row>
    <row r="1029" spans="2:11" x14ac:dyDescent="0.3">
      <c r="B1029">
        <v>20</v>
      </c>
      <c r="C1029" t="s">
        <v>2268</v>
      </c>
      <c r="D1029" t="s">
        <v>2802</v>
      </c>
      <c r="E1029" t="s">
        <v>339</v>
      </c>
      <c r="F1029" s="6" t="s">
        <v>2801</v>
      </c>
      <c r="G1029">
        <f>36000+48600</f>
        <v>84600</v>
      </c>
      <c r="H1029">
        <v>80000</v>
      </c>
      <c r="I1029">
        <f t="shared" si="76"/>
        <v>4600</v>
      </c>
      <c r="K1029" t="s">
        <v>2815</v>
      </c>
    </row>
    <row r="1030" spans="2:11" x14ac:dyDescent="0.3">
      <c r="B1030">
        <v>21</v>
      </c>
      <c r="C1030" t="s">
        <v>2633</v>
      </c>
      <c r="D1030" t="s">
        <v>2803</v>
      </c>
      <c r="E1030" t="s">
        <v>2632</v>
      </c>
      <c r="F1030" s="6" t="s">
        <v>2801</v>
      </c>
      <c r="G1030">
        <v>40000</v>
      </c>
      <c r="H1030">
        <v>40000</v>
      </c>
      <c r="I1030">
        <f t="shared" si="76"/>
        <v>0</v>
      </c>
      <c r="K1030" t="s">
        <v>2822</v>
      </c>
    </row>
    <row r="1031" spans="2:11" x14ac:dyDescent="0.3">
      <c r="B1031">
        <v>22</v>
      </c>
      <c r="C1031" t="s">
        <v>220</v>
      </c>
      <c r="D1031" t="s">
        <v>2805</v>
      </c>
      <c r="E1031" t="s">
        <v>51</v>
      </c>
      <c r="F1031" s="6" t="s">
        <v>2804</v>
      </c>
      <c r="G1031">
        <v>26400</v>
      </c>
      <c r="H1031">
        <v>26400</v>
      </c>
      <c r="I1031">
        <f t="shared" si="76"/>
        <v>0</v>
      </c>
      <c r="K1031" t="s">
        <v>2812</v>
      </c>
    </row>
    <row r="1032" spans="2:11" x14ac:dyDescent="0.3">
      <c r="B1032">
        <v>23</v>
      </c>
      <c r="C1032" t="s">
        <v>648</v>
      </c>
      <c r="D1032" t="s">
        <v>1406</v>
      </c>
      <c r="E1032" t="s">
        <v>46</v>
      </c>
      <c r="F1032" s="6" t="s">
        <v>2804</v>
      </c>
      <c r="G1032">
        <v>3000</v>
      </c>
      <c r="H1032">
        <v>3000</v>
      </c>
      <c r="I1032">
        <f t="shared" si="76"/>
        <v>0</v>
      </c>
      <c r="K1032" t="s">
        <v>2806</v>
      </c>
    </row>
    <row r="1033" spans="2:11" x14ac:dyDescent="0.3">
      <c r="B1033">
        <v>24</v>
      </c>
      <c r="C1033" t="s">
        <v>690</v>
      </c>
      <c r="D1033" t="s">
        <v>2247</v>
      </c>
      <c r="E1033" t="s">
        <v>12</v>
      </c>
      <c r="F1033" s="6" t="s">
        <v>2804</v>
      </c>
      <c r="G1033">
        <v>82000</v>
      </c>
      <c r="H1033">
        <v>82000</v>
      </c>
      <c r="I1033">
        <f t="shared" si="76"/>
        <v>0</v>
      </c>
      <c r="K1033" t="s">
        <v>2807</v>
      </c>
    </row>
    <row r="1034" spans="2:11" x14ac:dyDescent="0.3">
      <c r="B1034">
        <v>25</v>
      </c>
      <c r="C1034" t="s">
        <v>2808</v>
      </c>
      <c r="D1034" t="s">
        <v>14</v>
      </c>
      <c r="E1034" t="s">
        <v>12</v>
      </c>
      <c r="F1034" s="6" t="s">
        <v>2804</v>
      </c>
      <c r="G1034">
        <v>70000</v>
      </c>
      <c r="H1034">
        <v>70000</v>
      </c>
      <c r="I1034">
        <f t="shared" si="76"/>
        <v>0</v>
      </c>
      <c r="K1034" t="s">
        <v>2811</v>
      </c>
    </row>
    <row r="1035" spans="2:11" x14ac:dyDescent="0.3">
      <c r="B1035">
        <v>26</v>
      </c>
      <c r="C1035" t="s">
        <v>2251</v>
      </c>
      <c r="D1035" t="s">
        <v>2809</v>
      </c>
      <c r="E1035" t="s">
        <v>12</v>
      </c>
      <c r="F1035" s="6" t="s">
        <v>2810</v>
      </c>
      <c r="G1035">
        <f>27800-800</f>
        <v>27000</v>
      </c>
      <c r="H1035">
        <v>27000</v>
      </c>
      <c r="I1035">
        <f t="shared" si="76"/>
        <v>0</v>
      </c>
      <c r="K1035" t="s">
        <v>2836</v>
      </c>
    </row>
    <row r="1036" spans="2:11" x14ac:dyDescent="0.3">
      <c r="B1036">
        <v>27</v>
      </c>
      <c r="C1036" t="s">
        <v>2816</v>
      </c>
      <c r="D1036" t="s">
        <v>1354</v>
      </c>
      <c r="E1036" t="s">
        <v>39</v>
      </c>
      <c r="F1036" s="6" t="s">
        <v>2817</v>
      </c>
      <c r="G1036">
        <f>35000+18000</f>
        <v>53000</v>
      </c>
      <c r="H1036">
        <v>35000</v>
      </c>
      <c r="I1036">
        <f t="shared" si="76"/>
        <v>18000</v>
      </c>
      <c r="K1036" t="s">
        <v>2818</v>
      </c>
    </row>
    <row r="1037" spans="2:11" x14ac:dyDescent="0.3">
      <c r="E1037" s="120" t="s">
        <v>2875</v>
      </c>
      <c r="F1037" s="121"/>
      <c r="G1037" s="121"/>
      <c r="H1037" s="49">
        <f>SUM(H1010:H1036)</f>
        <v>861000</v>
      </c>
    </row>
    <row r="1039" spans="2:11" x14ac:dyDescent="0.3">
      <c r="B1039">
        <v>1</v>
      </c>
      <c r="C1039" t="s">
        <v>2824</v>
      </c>
      <c r="D1039" t="s">
        <v>654</v>
      </c>
      <c r="E1039" t="s">
        <v>746</v>
      </c>
      <c r="F1039" s="6" t="s">
        <v>2825</v>
      </c>
      <c r="G1039">
        <v>48000</v>
      </c>
      <c r="H1039">
        <v>48000</v>
      </c>
      <c r="I1039">
        <f t="shared" ref="I1039:I1054" si="77">G1039-H1039</f>
        <v>0</v>
      </c>
      <c r="K1039" t="s">
        <v>2826</v>
      </c>
    </row>
    <row r="1040" spans="2:11" x14ac:dyDescent="0.3">
      <c r="B1040">
        <v>2</v>
      </c>
      <c r="C1040" t="s">
        <v>2829</v>
      </c>
      <c r="D1040" t="s">
        <v>249</v>
      </c>
      <c r="E1040" t="s">
        <v>2830</v>
      </c>
      <c r="F1040" s="6" t="s">
        <v>2831</v>
      </c>
      <c r="G1040">
        <v>40000</v>
      </c>
      <c r="H1040">
        <v>40000</v>
      </c>
      <c r="I1040">
        <f t="shared" si="77"/>
        <v>0</v>
      </c>
      <c r="K1040" t="s">
        <v>2832</v>
      </c>
    </row>
    <row r="1041" spans="2:11" x14ac:dyDescent="0.3">
      <c r="B1041">
        <v>3</v>
      </c>
      <c r="C1041" t="s">
        <v>2833</v>
      </c>
      <c r="D1041" t="s">
        <v>1823</v>
      </c>
      <c r="E1041" t="s">
        <v>2834</v>
      </c>
      <c r="F1041" s="6" t="s">
        <v>2831</v>
      </c>
      <c r="G1041">
        <f>35000+8000</f>
        <v>43000</v>
      </c>
      <c r="H1041">
        <v>43000</v>
      </c>
      <c r="I1041">
        <f t="shared" si="77"/>
        <v>0</v>
      </c>
      <c r="K1041" t="s">
        <v>2835</v>
      </c>
    </row>
    <row r="1042" spans="2:11" x14ac:dyDescent="0.3">
      <c r="B1042">
        <v>4</v>
      </c>
      <c r="C1042" t="s">
        <v>2837</v>
      </c>
      <c r="D1042" t="s">
        <v>2838</v>
      </c>
      <c r="E1042" t="s">
        <v>2830</v>
      </c>
      <c r="F1042" s="6" t="s">
        <v>2839</v>
      </c>
      <c r="G1042">
        <v>13000</v>
      </c>
      <c r="H1042">
        <v>10000</v>
      </c>
      <c r="I1042">
        <f t="shared" si="77"/>
        <v>3000</v>
      </c>
      <c r="K1042" t="s">
        <v>2840</v>
      </c>
    </row>
    <row r="1043" spans="2:11" x14ac:dyDescent="0.3">
      <c r="B1043">
        <v>5</v>
      </c>
      <c r="C1043" t="s">
        <v>1347</v>
      </c>
      <c r="D1043" t="s">
        <v>11</v>
      </c>
      <c r="E1043" t="s">
        <v>2830</v>
      </c>
      <c r="F1043" s="6" t="s">
        <v>2841</v>
      </c>
      <c r="G1043">
        <v>16200</v>
      </c>
      <c r="H1043">
        <v>15500</v>
      </c>
      <c r="I1043">
        <f t="shared" si="77"/>
        <v>700</v>
      </c>
      <c r="K1043" t="s">
        <v>2842</v>
      </c>
    </row>
    <row r="1044" spans="2:11" x14ac:dyDescent="0.3">
      <c r="B1044">
        <v>6</v>
      </c>
      <c r="C1044" t="s">
        <v>2843</v>
      </c>
      <c r="D1044" t="s">
        <v>164</v>
      </c>
      <c r="E1044" t="s">
        <v>131</v>
      </c>
      <c r="F1044" s="6" t="s">
        <v>2844</v>
      </c>
      <c r="G1044">
        <v>4000</v>
      </c>
      <c r="H1044">
        <v>4000</v>
      </c>
      <c r="I1044">
        <f t="shared" si="77"/>
        <v>0</v>
      </c>
      <c r="K1044" t="s">
        <v>2845</v>
      </c>
    </row>
    <row r="1045" spans="2:11" x14ac:dyDescent="0.3">
      <c r="B1045">
        <v>7</v>
      </c>
      <c r="C1045" t="s">
        <v>2846</v>
      </c>
      <c r="D1045" t="s">
        <v>654</v>
      </c>
      <c r="E1045" t="s">
        <v>746</v>
      </c>
      <c r="F1045" s="6" t="s">
        <v>2847</v>
      </c>
      <c r="G1045">
        <v>50000</v>
      </c>
      <c r="H1045">
        <v>50000</v>
      </c>
      <c r="I1045">
        <f t="shared" si="77"/>
        <v>0</v>
      </c>
      <c r="K1045" t="s">
        <v>2848</v>
      </c>
    </row>
    <row r="1046" spans="2:11" x14ac:dyDescent="0.3">
      <c r="B1046">
        <v>8</v>
      </c>
      <c r="C1046" t="s">
        <v>2853</v>
      </c>
      <c r="D1046" t="s">
        <v>2854</v>
      </c>
      <c r="E1046" t="s">
        <v>131</v>
      </c>
      <c r="F1046" s="6" t="s">
        <v>2855</v>
      </c>
      <c r="G1046">
        <v>3000</v>
      </c>
      <c r="H1046">
        <v>3000</v>
      </c>
      <c r="I1046">
        <f t="shared" si="77"/>
        <v>0</v>
      </c>
      <c r="K1046" t="s">
        <v>2856</v>
      </c>
    </row>
    <row r="1047" spans="2:11" x14ac:dyDescent="0.3">
      <c r="B1047">
        <v>9</v>
      </c>
      <c r="C1047" t="s">
        <v>2857</v>
      </c>
      <c r="D1047" t="s">
        <v>2699</v>
      </c>
      <c r="E1047" t="s">
        <v>2830</v>
      </c>
      <c r="F1047" s="6" t="s">
        <v>2855</v>
      </c>
      <c r="G1047">
        <v>92500</v>
      </c>
      <c r="H1047">
        <v>92500</v>
      </c>
      <c r="I1047">
        <f t="shared" si="77"/>
        <v>0</v>
      </c>
      <c r="K1047" t="s">
        <v>2858</v>
      </c>
    </row>
    <row r="1048" spans="2:11" x14ac:dyDescent="0.3">
      <c r="B1048">
        <v>10</v>
      </c>
      <c r="C1048" t="s">
        <v>2859</v>
      </c>
      <c r="D1048" t="s">
        <v>18</v>
      </c>
      <c r="E1048" t="s">
        <v>2830</v>
      </c>
      <c r="F1048" s="6" t="s">
        <v>2855</v>
      </c>
      <c r="G1048">
        <v>37200</v>
      </c>
      <c r="H1048">
        <v>37200</v>
      </c>
      <c r="I1048">
        <f t="shared" si="77"/>
        <v>0</v>
      </c>
      <c r="K1048" t="s">
        <v>2860</v>
      </c>
    </row>
    <row r="1049" spans="2:11" x14ac:dyDescent="0.3">
      <c r="B1049">
        <v>11</v>
      </c>
      <c r="C1049" t="s">
        <v>2861</v>
      </c>
      <c r="D1049" t="s">
        <v>2862</v>
      </c>
      <c r="E1049" t="s">
        <v>131</v>
      </c>
      <c r="F1049" s="6" t="s">
        <v>2863</v>
      </c>
      <c r="G1049">
        <v>7000</v>
      </c>
      <c r="H1049">
        <v>7000</v>
      </c>
      <c r="I1049">
        <f t="shared" si="77"/>
        <v>0</v>
      </c>
      <c r="K1049" t="s">
        <v>2864</v>
      </c>
    </row>
    <row r="1050" spans="2:11" x14ac:dyDescent="0.3">
      <c r="B1050">
        <v>12</v>
      </c>
      <c r="C1050" t="s">
        <v>2865</v>
      </c>
      <c r="D1050" t="s">
        <v>1202</v>
      </c>
      <c r="E1050" t="s">
        <v>2830</v>
      </c>
      <c r="F1050" s="6" t="s">
        <v>2866</v>
      </c>
      <c r="G1050">
        <f>70000*2</f>
        <v>140000</v>
      </c>
      <c r="H1050">
        <v>70000</v>
      </c>
      <c r="I1050">
        <f t="shared" si="77"/>
        <v>70000</v>
      </c>
      <c r="K1050" t="s">
        <v>2867</v>
      </c>
    </row>
    <row r="1051" spans="2:11" x14ac:dyDescent="0.3">
      <c r="B1051">
        <v>13</v>
      </c>
      <c r="C1051" t="s">
        <v>2868</v>
      </c>
      <c r="D1051" t="s">
        <v>654</v>
      </c>
      <c r="E1051" t="s">
        <v>746</v>
      </c>
      <c r="F1051" s="6" t="s">
        <v>2866</v>
      </c>
      <c r="G1051">
        <v>50000</v>
      </c>
      <c r="H1051">
        <v>50000</v>
      </c>
      <c r="I1051">
        <f t="shared" si="77"/>
        <v>0</v>
      </c>
      <c r="K1051" t="s">
        <v>2869</v>
      </c>
    </row>
    <row r="1052" spans="2:11" x14ac:dyDescent="0.3">
      <c r="B1052">
        <v>14</v>
      </c>
      <c r="C1052" t="s">
        <v>1583</v>
      </c>
      <c r="D1052" t="s">
        <v>1164</v>
      </c>
      <c r="E1052" t="s">
        <v>1253</v>
      </c>
      <c r="F1052" s="6" t="s">
        <v>2870</v>
      </c>
      <c r="G1052">
        <v>15000</v>
      </c>
      <c r="H1052">
        <v>15000</v>
      </c>
      <c r="I1052">
        <f t="shared" si="77"/>
        <v>0</v>
      </c>
      <c r="K1052" t="s">
        <v>2881</v>
      </c>
    </row>
    <row r="1053" spans="2:11" x14ac:dyDescent="0.3">
      <c r="B1053">
        <v>15</v>
      </c>
      <c r="C1053" t="s">
        <v>1628</v>
      </c>
      <c r="D1053" t="s">
        <v>926</v>
      </c>
      <c r="E1053" t="s">
        <v>46</v>
      </c>
      <c r="F1053" s="6" t="s">
        <v>2871</v>
      </c>
      <c r="G1053">
        <f>18000-3000</f>
        <v>15000</v>
      </c>
      <c r="H1053">
        <v>15000</v>
      </c>
      <c r="I1053">
        <f t="shared" si="77"/>
        <v>0</v>
      </c>
      <c r="K1053" t="s">
        <v>2874</v>
      </c>
    </row>
    <row r="1054" spans="2:11" x14ac:dyDescent="0.3">
      <c r="B1054">
        <v>16</v>
      </c>
      <c r="C1054" t="s">
        <v>2872</v>
      </c>
      <c r="D1054" t="s">
        <v>2854</v>
      </c>
      <c r="E1054" t="s">
        <v>2830</v>
      </c>
      <c r="F1054" s="6" t="s">
        <v>2871</v>
      </c>
      <c r="G1054">
        <f>35000+1000</f>
        <v>36000</v>
      </c>
      <c r="H1054">
        <v>30000</v>
      </c>
      <c r="I1054">
        <f t="shared" si="77"/>
        <v>6000</v>
      </c>
      <c r="K1054" t="s">
        <v>2873</v>
      </c>
    </row>
    <row r="1055" spans="2:11" x14ac:dyDescent="0.3">
      <c r="E1055" s="120" t="s">
        <v>2876</v>
      </c>
      <c r="F1055" s="121"/>
      <c r="G1055" s="121"/>
      <c r="H1055" s="49">
        <f>SUM(H1039:H1054)</f>
        <v>530200</v>
      </c>
    </row>
    <row r="1057" spans="2:11" x14ac:dyDescent="0.3">
      <c r="B1057">
        <v>1</v>
      </c>
      <c r="C1057" t="s">
        <v>2877</v>
      </c>
      <c r="D1057" t="s">
        <v>654</v>
      </c>
      <c r="E1057" t="s">
        <v>746</v>
      </c>
      <c r="F1057" s="6" t="s">
        <v>2850</v>
      </c>
      <c r="G1057">
        <v>7000</v>
      </c>
      <c r="H1057">
        <v>7000</v>
      </c>
      <c r="I1057">
        <f t="shared" ref="I1057:I1058" si="78">G1057-H1057</f>
        <v>0</v>
      </c>
      <c r="K1057" t="s">
        <v>2878</v>
      </c>
    </row>
    <row r="1058" spans="2:11" x14ac:dyDescent="0.3">
      <c r="B1058">
        <v>2</v>
      </c>
      <c r="C1058" t="s">
        <v>886</v>
      </c>
      <c r="D1058" t="s">
        <v>2879</v>
      </c>
      <c r="E1058" t="s">
        <v>888</v>
      </c>
      <c r="F1058" s="6" t="s">
        <v>2850</v>
      </c>
      <c r="G1058">
        <v>45000</v>
      </c>
      <c r="H1058">
        <v>0</v>
      </c>
      <c r="I1058">
        <f t="shared" si="78"/>
        <v>45000</v>
      </c>
      <c r="K1058" t="s">
        <v>2880</v>
      </c>
    </row>
  </sheetData>
  <mergeCells count="57">
    <mergeCell ref="E1055:G1055"/>
    <mergeCell ref="E1037:G1037"/>
    <mergeCell ref="E1008:G1008"/>
    <mergeCell ref="E486:G486"/>
    <mergeCell ref="E877:G877"/>
    <mergeCell ref="E863:G863"/>
    <mergeCell ref="E746:G746"/>
    <mergeCell ref="E612:G612"/>
    <mergeCell ref="E706:G706"/>
    <mergeCell ref="E697:G697"/>
    <mergeCell ref="E648:G648"/>
    <mergeCell ref="E661:G661"/>
    <mergeCell ref="E891:G891"/>
    <mergeCell ref="E992:G992"/>
    <mergeCell ref="E980:G980"/>
    <mergeCell ref="E574:G574"/>
    <mergeCell ref="E938:G938"/>
    <mergeCell ref="E940:G940"/>
    <mergeCell ref="E903:G903"/>
    <mergeCell ref="E627:G627"/>
    <mergeCell ref="E585:G585"/>
    <mergeCell ref="E798:G798"/>
    <mergeCell ref="E828:G828"/>
    <mergeCell ref="E778:G778"/>
    <mergeCell ref="C78:F78"/>
    <mergeCell ref="E147:G147"/>
    <mergeCell ref="E163:G163"/>
    <mergeCell ref="F113:G113"/>
    <mergeCell ref="E174:G174"/>
    <mergeCell ref="E262:G262"/>
    <mergeCell ref="E329:G329"/>
    <mergeCell ref="E391:G391"/>
    <mergeCell ref="E268:G268"/>
    <mergeCell ref="E340:G340"/>
    <mergeCell ref="E321:G321"/>
    <mergeCell ref="E290:G290"/>
    <mergeCell ref="E354:G354"/>
    <mergeCell ref="E367:G367"/>
    <mergeCell ref="E375:G375"/>
    <mergeCell ref="E190:G190"/>
    <mergeCell ref="E249:G249"/>
    <mergeCell ref="E239:G239"/>
    <mergeCell ref="E229:G229"/>
    <mergeCell ref="E208:G208"/>
    <mergeCell ref="E198:G198"/>
    <mergeCell ref="E405:G405"/>
    <mergeCell ref="E856:G856"/>
    <mergeCell ref="E840:G840"/>
    <mergeCell ref="E821:G821"/>
    <mergeCell ref="E807:G807"/>
    <mergeCell ref="E424:G424"/>
    <mergeCell ref="E435:G435"/>
    <mergeCell ref="E451:G451"/>
    <mergeCell ref="E485:G485"/>
    <mergeCell ref="E522:G522"/>
    <mergeCell ref="E534:G534"/>
    <mergeCell ref="E563:G56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81"/>
  <sheetViews>
    <sheetView topLeftCell="A60" workbookViewId="0">
      <selection activeCell="B77" sqref="B77"/>
    </sheetView>
  </sheetViews>
  <sheetFormatPr defaultRowHeight="14.4" x14ac:dyDescent="0.3"/>
  <cols>
    <col min="3" max="3" width="10.88671875" customWidth="1"/>
    <col min="4" max="4" width="16.88671875" bestFit="1" customWidth="1"/>
    <col min="5" max="5" width="46.88671875" bestFit="1" customWidth="1"/>
    <col min="6" max="6" width="10.44140625" bestFit="1" customWidth="1"/>
    <col min="7" max="7" width="13.33203125" bestFit="1" customWidth="1"/>
    <col min="8" max="8" width="40.5546875" bestFit="1" customWidth="1"/>
    <col min="9" max="9" width="16.6640625" customWidth="1"/>
    <col min="10" max="10" width="11.5546875" bestFit="1" customWidth="1"/>
    <col min="11" max="11" width="8" bestFit="1" customWidth="1"/>
    <col min="12" max="12" width="11.5546875" bestFit="1" customWidth="1"/>
    <col min="13" max="13" width="9" bestFit="1" customWidth="1"/>
    <col min="14" max="14" width="12.5546875" bestFit="1" customWidth="1"/>
  </cols>
  <sheetData>
    <row r="3" spans="3:14" x14ac:dyDescent="0.3"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3:14" x14ac:dyDescent="0.3"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3:14" x14ac:dyDescent="0.3">
      <c r="D5" s="3"/>
      <c r="E5" s="8"/>
      <c r="F5" s="8"/>
      <c r="G5" s="8"/>
      <c r="H5" s="8"/>
      <c r="I5" s="8"/>
      <c r="J5" s="8"/>
      <c r="K5" s="8"/>
      <c r="L5" s="8"/>
      <c r="M5" s="8"/>
      <c r="N5" s="8"/>
    </row>
    <row r="6" spans="3:14" x14ac:dyDescent="0.3">
      <c r="D6" s="3"/>
      <c r="E6" s="8"/>
      <c r="F6" s="8"/>
      <c r="G6" s="8"/>
      <c r="H6" s="8"/>
      <c r="I6" s="8"/>
      <c r="J6" s="8"/>
      <c r="K6" s="8"/>
      <c r="L6" s="8"/>
      <c r="M6" s="8"/>
      <c r="N6" s="8"/>
    </row>
    <row r="7" spans="3:14" x14ac:dyDescent="0.3">
      <c r="D7" s="3"/>
      <c r="E7" s="8"/>
      <c r="F7" s="8"/>
      <c r="G7" s="8"/>
      <c r="H7" s="8"/>
      <c r="I7" s="8"/>
      <c r="J7" s="8"/>
      <c r="K7" s="8"/>
      <c r="L7" s="8"/>
      <c r="M7" s="8"/>
      <c r="N7" s="8"/>
    </row>
    <row r="8" spans="3:14" x14ac:dyDescent="0.3">
      <c r="D8" s="3"/>
      <c r="E8" s="8"/>
      <c r="F8" s="8"/>
      <c r="G8" s="8"/>
      <c r="H8" s="8"/>
      <c r="I8" s="8"/>
      <c r="J8" s="8"/>
      <c r="K8" s="8"/>
      <c r="L8" s="8"/>
      <c r="M8" s="8"/>
      <c r="N8" s="8"/>
    </row>
    <row r="9" spans="3:14" x14ac:dyDescent="0.3">
      <c r="D9" s="3"/>
      <c r="E9" s="8"/>
      <c r="F9" s="8"/>
      <c r="G9" s="8"/>
      <c r="H9" s="8"/>
      <c r="I9" s="8"/>
      <c r="J9" s="8"/>
      <c r="K9" s="8"/>
      <c r="L9" s="8"/>
      <c r="M9" s="8"/>
      <c r="N9" s="8"/>
    </row>
    <row r="10" spans="3:14" x14ac:dyDescent="0.3"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3:14" x14ac:dyDescent="0.3"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3:14" x14ac:dyDescent="0.3"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3:14" x14ac:dyDescent="0.3"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3:14" x14ac:dyDescent="0.3"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</row>
    <row r="15" spans="3:14" x14ac:dyDescent="0.3">
      <c r="D15" s="8"/>
      <c r="E15" s="8"/>
      <c r="F15" s="7"/>
    </row>
    <row r="16" spans="3:14" x14ac:dyDescent="0.3">
      <c r="D16" s="8"/>
      <c r="E16" s="8"/>
      <c r="F16" s="7"/>
    </row>
    <row r="17" spans="3:9" x14ac:dyDescent="0.3">
      <c r="C17" s="128" t="s">
        <v>277</v>
      </c>
      <c r="D17" s="128"/>
      <c r="E17" s="128"/>
      <c r="F17" s="128"/>
      <c r="G17" s="128"/>
      <c r="H17" s="128"/>
    </row>
    <row r="18" spans="3:9" x14ac:dyDescent="0.3">
      <c r="C18" s="126" t="s">
        <v>352</v>
      </c>
      <c r="D18" s="126"/>
      <c r="E18" s="126"/>
      <c r="F18" s="126" t="s">
        <v>353</v>
      </c>
      <c r="G18" s="126"/>
      <c r="H18" s="126"/>
    </row>
    <row r="19" spans="3:9" x14ac:dyDescent="0.3">
      <c r="C19" s="23" t="s">
        <v>267</v>
      </c>
      <c r="D19" s="23" t="s">
        <v>268</v>
      </c>
      <c r="E19" s="23" t="s">
        <v>269</v>
      </c>
      <c r="F19" s="23" t="s">
        <v>267</v>
      </c>
      <c r="G19" s="23" t="s">
        <v>4</v>
      </c>
      <c r="H19" s="23" t="s">
        <v>269</v>
      </c>
    </row>
    <row r="20" spans="3:9" x14ac:dyDescent="0.3">
      <c r="C20" s="6" t="s">
        <v>262</v>
      </c>
      <c r="D20" s="8">
        <v>100000</v>
      </c>
      <c r="E20" s="26" t="s">
        <v>270</v>
      </c>
      <c r="F20" s="6" t="s">
        <v>272</v>
      </c>
      <c r="G20" s="8">
        <v>150000</v>
      </c>
      <c r="H20" t="s">
        <v>276</v>
      </c>
    </row>
    <row r="21" spans="3:9" x14ac:dyDescent="0.3">
      <c r="C21" s="6" t="s">
        <v>262</v>
      </c>
      <c r="D21" s="8">
        <v>50000</v>
      </c>
      <c r="E21" s="26" t="s">
        <v>271</v>
      </c>
      <c r="F21" s="6" t="s">
        <v>273</v>
      </c>
      <c r="G21" s="8">
        <v>250000</v>
      </c>
      <c r="H21" t="s">
        <v>291</v>
      </c>
    </row>
    <row r="22" spans="3:9" x14ac:dyDescent="0.3">
      <c r="C22" s="6" t="s">
        <v>273</v>
      </c>
      <c r="D22" s="8">
        <v>275808</v>
      </c>
      <c r="E22" t="s">
        <v>274</v>
      </c>
      <c r="F22" s="6" t="s">
        <v>283</v>
      </c>
      <c r="G22" s="8">
        <v>200000</v>
      </c>
      <c r="H22" t="s">
        <v>291</v>
      </c>
    </row>
    <row r="23" spans="3:9" x14ac:dyDescent="0.3">
      <c r="C23" s="6" t="s">
        <v>273</v>
      </c>
      <c r="D23" s="8">
        <v>275808</v>
      </c>
      <c r="E23" t="s">
        <v>275</v>
      </c>
      <c r="F23" s="6" t="s">
        <v>292</v>
      </c>
      <c r="G23" s="8">
        <v>208</v>
      </c>
      <c r="H23" t="s">
        <v>293</v>
      </c>
    </row>
    <row r="24" spans="3:9" x14ac:dyDescent="0.3">
      <c r="C24" s="6" t="s">
        <v>289</v>
      </c>
      <c r="D24" s="8">
        <v>689310</v>
      </c>
      <c r="E24" t="s">
        <v>290</v>
      </c>
      <c r="F24" s="6" t="s">
        <v>297</v>
      </c>
      <c r="G24" s="8">
        <v>850000</v>
      </c>
      <c r="H24" t="s">
        <v>298</v>
      </c>
    </row>
    <row r="25" spans="3:9" x14ac:dyDescent="0.3">
      <c r="C25" s="6" t="s">
        <v>289</v>
      </c>
      <c r="D25" s="8">
        <v>277305</v>
      </c>
      <c r="E25" t="s">
        <v>290</v>
      </c>
      <c r="F25" s="6" t="s">
        <v>299</v>
      </c>
      <c r="G25" s="8">
        <v>3400</v>
      </c>
      <c r="H25" t="s">
        <v>293</v>
      </c>
    </row>
    <row r="26" spans="3:9" x14ac:dyDescent="0.3">
      <c r="C26" s="6" t="s">
        <v>292</v>
      </c>
      <c r="D26" s="8">
        <v>50000</v>
      </c>
      <c r="E26" s="26" t="s">
        <v>294</v>
      </c>
      <c r="F26" s="6" t="s">
        <v>299</v>
      </c>
      <c r="G26" s="8">
        <v>500000</v>
      </c>
      <c r="H26" t="s">
        <v>291</v>
      </c>
    </row>
    <row r="27" spans="3:9" x14ac:dyDescent="0.3">
      <c r="C27" s="6" t="s">
        <v>292</v>
      </c>
      <c r="D27" s="8">
        <f>143.4*2000</f>
        <v>286800</v>
      </c>
      <c r="E27" t="s">
        <v>296</v>
      </c>
      <c r="F27" s="6" t="s">
        <v>303</v>
      </c>
      <c r="G27" s="8">
        <v>700000</v>
      </c>
      <c r="H27" t="s">
        <v>304</v>
      </c>
      <c r="I27" s="27"/>
    </row>
    <row r="28" spans="3:9" x14ac:dyDescent="0.3">
      <c r="C28" s="6" t="s">
        <v>295</v>
      </c>
      <c r="D28" s="8">
        <v>50000</v>
      </c>
      <c r="E28" s="26" t="s">
        <v>270</v>
      </c>
      <c r="F28" s="6" t="s">
        <v>305</v>
      </c>
      <c r="G28" s="8">
        <v>49000</v>
      </c>
      <c r="H28" t="s">
        <v>312</v>
      </c>
    </row>
    <row r="29" spans="3:9" x14ac:dyDescent="0.3">
      <c r="C29" s="6" t="s">
        <v>301</v>
      </c>
      <c r="D29" s="8">
        <v>973080</v>
      </c>
      <c r="E29" t="s">
        <v>302</v>
      </c>
      <c r="F29" s="6" t="s">
        <v>316</v>
      </c>
      <c r="G29" s="8">
        <v>1500</v>
      </c>
      <c r="H29" t="s">
        <v>313</v>
      </c>
    </row>
    <row r="30" spans="3:9" x14ac:dyDescent="0.3">
      <c r="F30" s="6" t="s">
        <v>317</v>
      </c>
      <c r="G30" s="8">
        <v>10600</v>
      </c>
      <c r="H30" t="s">
        <v>314</v>
      </c>
    </row>
    <row r="31" spans="3:9" x14ac:dyDescent="0.3">
      <c r="G31" s="8">
        <v>5000</v>
      </c>
      <c r="H31" t="s">
        <v>315</v>
      </c>
    </row>
    <row r="32" spans="3:9" x14ac:dyDescent="0.3">
      <c r="G32" s="8">
        <v>15000</v>
      </c>
      <c r="H32" t="s">
        <v>318</v>
      </c>
    </row>
    <row r="34" spans="3:10" x14ac:dyDescent="0.3">
      <c r="H34" s="28" t="s">
        <v>8</v>
      </c>
    </row>
    <row r="35" spans="3:10" x14ac:dyDescent="0.3">
      <c r="C35" s="24" t="s">
        <v>83</v>
      </c>
      <c r="D35" s="25">
        <f>SUM(D20:D34)</f>
        <v>3028111</v>
      </c>
      <c r="E35" s="4"/>
      <c r="F35" s="4"/>
      <c r="G35" s="25">
        <f>SUM(G20:G34)</f>
        <v>2734708</v>
      </c>
      <c r="H35" s="29">
        <f>D35-G35</f>
        <v>293403</v>
      </c>
    </row>
    <row r="37" spans="3:10" x14ac:dyDescent="0.3">
      <c r="C37" s="6" t="s">
        <v>400</v>
      </c>
      <c r="D37" s="8">
        <v>293403</v>
      </c>
      <c r="E37" t="s">
        <v>555</v>
      </c>
      <c r="F37" s="6" t="s">
        <v>428</v>
      </c>
      <c r="G37" s="8">
        <v>32000</v>
      </c>
      <c r="H37" t="s">
        <v>470</v>
      </c>
    </row>
    <row r="38" spans="3:10" x14ac:dyDescent="0.3">
      <c r="C38" s="6" t="s">
        <v>417</v>
      </c>
      <c r="D38" s="44">
        <v>303240</v>
      </c>
      <c r="E38" t="s">
        <v>275</v>
      </c>
      <c r="F38" s="6" t="s">
        <v>428</v>
      </c>
      <c r="G38" s="8">
        <v>1000000</v>
      </c>
      <c r="H38" t="s">
        <v>430</v>
      </c>
    </row>
    <row r="39" spans="3:10" x14ac:dyDescent="0.3">
      <c r="C39" s="6" t="s">
        <v>422</v>
      </c>
      <c r="D39" s="44">
        <v>301245</v>
      </c>
      <c r="E39" t="s">
        <v>423</v>
      </c>
      <c r="F39" s="6" t="s">
        <v>481</v>
      </c>
      <c r="G39" s="8">
        <v>1000000</v>
      </c>
      <c r="H39" t="s">
        <v>430</v>
      </c>
    </row>
    <row r="40" spans="3:10" x14ac:dyDescent="0.3">
      <c r="C40" s="6" t="s">
        <v>428</v>
      </c>
      <c r="D40" s="8">
        <v>50000</v>
      </c>
      <c r="E40" s="45" t="s">
        <v>429</v>
      </c>
      <c r="F40" s="6" t="s">
        <v>486</v>
      </c>
      <c r="G40" s="8">
        <v>450000</v>
      </c>
      <c r="H40" t="s">
        <v>601</v>
      </c>
    </row>
    <row r="41" spans="3:10" x14ac:dyDescent="0.3">
      <c r="C41" s="6" t="s">
        <v>428</v>
      </c>
      <c r="D41" s="8">
        <v>303240</v>
      </c>
      <c r="E41" t="s">
        <v>441</v>
      </c>
      <c r="F41" s="58" t="s">
        <v>477</v>
      </c>
      <c r="G41" s="8">
        <v>15000</v>
      </c>
      <c r="H41" t="s">
        <v>318</v>
      </c>
    </row>
    <row r="42" spans="3:10" x14ac:dyDescent="0.3">
      <c r="C42" s="6" t="s">
        <v>458</v>
      </c>
      <c r="D42" s="8">
        <v>1074500</v>
      </c>
      <c r="E42" t="s">
        <v>471</v>
      </c>
      <c r="F42" s="58" t="s">
        <v>477</v>
      </c>
      <c r="G42" s="8">
        <v>3000</v>
      </c>
      <c r="H42" t="s">
        <v>540</v>
      </c>
      <c r="I42" t="s">
        <v>83</v>
      </c>
      <c r="J42">
        <v>2735000</v>
      </c>
    </row>
    <row r="43" spans="3:10" x14ac:dyDescent="0.3">
      <c r="C43" s="6" t="s">
        <v>547</v>
      </c>
      <c r="D43" s="8">
        <v>20000</v>
      </c>
      <c r="E43" t="s">
        <v>558</v>
      </c>
      <c r="F43" s="58" t="s">
        <v>477</v>
      </c>
      <c r="G43" s="8">
        <v>29050</v>
      </c>
      <c r="H43" t="s">
        <v>312</v>
      </c>
      <c r="I43" t="s">
        <v>467</v>
      </c>
      <c r="J43">
        <v>1000000</v>
      </c>
    </row>
    <row r="44" spans="3:10" x14ac:dyDescent="0.3">
      <c r="C44" s="6" t="s">
        <v>551</v>
      </c>
      <c r="D44" s="8">
        <v>50000</v>
      </c>
      <c r="E44" t="s">
        <v>556</v>
      </c>
      <c r="F44" s="58" t="s">
        <v>477</v>
      </c>
      <c r="G44" s="8">
        <v>5610</v>
      </c>
      <c r="H44" t="s">
        <v>314</v>
      </c>
      <c r="I44" t="s">
        <v>468</v>
      </c>
      <c r="J44">
        <v>219000</v>
      </c>
    </row>
    <row r="45" spans="3:10" x14ac:dyDescent="0.3">
      <c r="C45" s="6" t="s">
        <v>550</v>
      </c>
      <c r="D45" s="8">
        <v>50000</v>
      </c>
      <c r="E45" t="s">
        <v>556</v>
      </c>
      <c r="F45" s="6" t="s">
        <v>602</v>
      </c>
      <c r="G45" s="8">
        <v>200000</v>
      </c>
      <c r="H45" t="s">
        <v>430</v>
      </c>
      <c r="I45" t="s">
        <v>469</v>
      </c>
      <c r="J45">
        <f>7000*153</f>
        <v>1071000</v>
      </c>
    </row>
    <row r="46" spans="3:10" x14ac:dyDescent="0.3">
      <c r="C46" s="6" t="s">
        <v>549</v>
      </c>
      <c r="D46" s="8">
        <v>50000</v>
      </c>
      <c r="E46" t="s">
        <v>556</v>
      </c>
      <c r="F46" s="58" t="s">
        <v>602</v>
      </c>
      <c r="G46" s="8">
        <v>1000</v>
      </c>
      <c r="H46" t="s">
        <v>603</v>
      </c>
      <c r="J46" s="3">
        <f>SUM(J43:J45)</f>
        <v>2290000</v>
      </c>
    </row>
    <row r="47" spans="3:10" x14ac:dyDescent="0.3">
      <c r="C47" s="6" t="s">
        <v>552</v>
      </c>
      <c r="D47" s="8">
        <v>20000</v>
      </c>
      <c r="E47" t="s">
        <v>557</v>
      </c>
    </row>
    <row r="48" spans="3:10" x14ac:dyDescent="0.3">
      <c r="C48" s="6" t="s">
        <v>554</v>
      </c>
      <c r="D48" s="8">
        <v>50000</v>
      </c>
      <c r="E48" t="s">
        <v>556</v>
      </c>
    </row>
    <row r="49" spans="3:8" x14ac:dyDescent="0.3">
      <c r="C49" s="6" t="s">
        <v>560</v>
      </c>
      <c r="D49" s="8">
        <v>50000</v>
      </c>
      <c r="E49" t="s">
        <v>556</v>
      </c>
    </row>
    <row r="50" spans="3:8" x14ac:dyDescent="0.3">
      <c r="C50" s="6" t="s">
        <v>561</v>
      </c>
      <c r="D50" s="8">
        <v>20000</v>
      </c>
      <c r="E50" t="s">
        <v>562</v>
      </c>
    </row>
    <row r="51" spans="3:8" x14ac:dyDescent="0.3">
      <c r="C51" s="6" t="s">
        <v>572</v>
      </c>
      <c r="D51" s="8">
        <v>50000</v>
      </c>
      <c r="E51" t="s">
        <v>556</v>
      </c>
    </row>
    <row r="52" spans="3:8" x14ac:dyDescent="0.3">
      <c r="C52" s="6" t="s">
        <v>575</v>
      </c>
      <c r="D52" s="8">
        <v>50000</v>
      </c>
      <c r="E52" t="s">
        <v>556</v>
      </c>
    </row>
    <row r="53" spans="3:8" x14ac:dyDescent="0.3">
      <c r="C53" s="6"/>
      <c r="D53" s="8"/>
    </row>
    <row r="54" spans="3:8" x14ac:dyDescent="0.3">
      <c r="C54" s="6"/>
      <c r="D54" s="8"/>
    </row>
    <row r="55" spans="3:8" x14ac:dyDescent="0.3">
      <c r="C55" s="6"/>
      <c r="D55" s="8"/>
    </row>
    <row r="56" spans="3:8" x14ac:dyDescent="0.3">
      <c r="C56" s="6"/>
      <c r="D56" s="8"/>
    </row>
    <row r="57" spans="3:8" x14ac:dyDescent="0.3">
      <c r="C57" s="6"/>
      <c r="D57" s="8"/>
    </row>
    <row r="58" spans="3:8" x14ac:dyDescent="0.3">
      <c r="D58" s="57">
        <f>SUM(D37:D57)</f>
        <v>2735628</v>
      </c>
      <c r="G58" s="57">
        <f>SUM(G37:G57)</f>
        <v>2735660</v>
      </c>
      <c r="H58" s="57">
        <f>D58-G58</f>
        <v>-32</v>
      </c>
    </row>
    <row r="60" spans="3:8" x14ac:dyDescent="0.3">
      <c r="C60" s="6" t="s">
        <v>316</v>
      </c>
      <c r="E60" t="s">
        <v>607</v>
      </c>
    </row>
    <row r="61" spans="3:8" x14ac:dyDescent="0.3">
      <c r="C61" s="6" t="s">
        <v>602</v>
      </c>
      <c r="D61" s="8">
        <v>50000</v>
      </c>
      <c r="E61" t="s">
        <v>604</v>
      </c>
    </row>
    <row r="62" spans="3:8" x14ac:dyDescent="0.3">
      <c r="C62" s="6" t="s">
        <v>605</v>
      </c>
      <c r="D62" s="8">
        <v>50000</v>
      </c>
      <c r="E62" t="s">
        <v>606</v>
      </c>
    </row>
    <row r="63" spans="3:8" x14ac:dyDescent="0.3">
      <c r="C63" s="6" t="s">
        <v>615</v>
      </c>
      <c r="D63" s="8">
        <v>50000</v>
      </c>
      <c r="E63" t="s">
        <v>616</v>
      </c>
    </row>
    <row r="64" spans="3:8" x14ac:dyDescent="0.3">
      <c r="C64" s="6" t="s">
        <v>626</v>
      </c>
      <c r="D64" s="8">
        <v>50000</v>
      </c>
      <c r="E64" t="s">
        <v>627</v>
      </c>
    </row>
    <row r="65" spans="3:5" x14ac:dyDescent="0.3">
      <c r="C65" s="6" t="s">
        <v>724</v>
      </c>
      <c r="D65" s="8">
        <v>20000</v>
      </c>
      <c r="E65" t="s">
        <v>725</v>
      </c>
    </row>
    <row r="66" spans="3:5" x14ac:dyDescent="0.3">
      <c r="C66" s="6" t="s">
        <v>726</v>
      </c>
      <c r="D66" s="44">
        <v>-87920</v>
      </c>
      <c r="E66" t="s">
        <v>727</v>
      </c>
    </row>
    <row r="67" spans="3:5" x14ac:dyDescent="0.3">
      <c r="C67" s="6" t="s">
        <v>728</v>
      </c>
      <c r="D67" s="8">
        <v>50000</v>
      </c>
      <c r="E67" t="s">
        <v>729</v>
      </c>
    </row>
    <row r="74" spans="3:5" x14ac:dyDescent="0.3">
      <c r="C74" s="119" t="s">
        <v>2480</v>
      </c>
      <c r="D74" s="116">
        <v>58900</v>
      </c>
      <c r="E74" s="116" t="s">
        <v>2503</v>
      </c>
    </row>
    <row r="75" spans="3:5" x14ac:dyDescent="0.3">
      <c r="C75" s="6" t="s">
        <v>2480</v>
      </c>
      <c r="D75">
        <v>-16700</v>
      </c>
      <c r="E75" t="s">
        <v>2500</v>
      </c>
    </row>
    <row r="76" spans="3:5" x14ac:dyDescent="0.3">
      <c r="C76" s="6" t="s">
        <v>2480</v>
      </c>
      <c r="D76">
        <v>-20000</v>
      </c>
      <c r="E76" t="s">
        <v>2501</v>
      </c>
    </row>
    <row r="77" spans="3:5" x14ac:dyDescent="0.3">
      <c r="C77" s="6" t="s">
        <v>2496</v>
      </c>
      <c r="D77">
        <v>-5000</v>
      </c>
      <c r="E77" t="s">
        <v>2505</v>
      </c>
    </row>
    <row r="78" spans="3:5" x14ac:dyDescent="0.3">
      <c r="C78" s="119" t="s">
        <v>2502</v>
      </c>
      <c r="D78" s="116">
        <v>41985</v>
      </c>
      <c r="E78" s="116" t="s">
        <v>2503</v>
      </c>
    </row>
    <row r="79" spans="3:5" x14ac:dyDescent="0.3">
      <c r="C79" s="6" t="s">
        <v>2504</v>
      </c>
      <c r="D79">
        <v>-18650</v>
      </c>
      <c r="E79" t="s">
        <v>2500</v>
      </c>
    </row>
    <row r="80" spans="3:5" x14ac:dyDescent="0.3">
      <c r="C80" s="6" t="s">
        <v>2511</v>
      </c>
      <c r="D80">
        <v>-17000</v>
      </c>
      <c r="E80" t="s">
        <v>2512</v>
      </c>
    </row>
    <row r="81" spans="3:4" x14ac:dyDescent="0.3">
      <c r="C81" s="118" t="s">
        <v>8</v>
      </c>
      <c r="D81" s="118">
        <f>SUM(D74:D80)</f>
        <v>23535</v>
      </c>
    </row>
  </sheetData>
  <mergeCells count="8">
    <mergeCell ref="C18:E18"/>
    <mergeCell ref="F18:H18"/>
    <mergeCell ref="M3:N3"/>
    <mergeCell ref="C17:H17"/>
    <mergeCell ref="E3:F3"/>
    <mergeCell ref="G3:H3"/>
    <mergeCell ref="I3:J3"/>
    <mergeCell ref="K3:L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76"/>
  <sheetViews>
    <sheetView workbookViewId="0">
      <selection activeCell="B9" sqref="B9"/>
    </sheetView>
  </sheetViews>
  <sheetFormatPr defaultColWidth="9.109375" defaultRowHeight="14.4" x14ac:dyDescent="0.3"/>
  <cols>
    <col min="1" max="1" width="10.88671875" style="39" bestFit="1" customWidth="1"/>
    <col min="2" max="2" width="23.44140625" style="39" bestFit="1" customWidth="1"/>
    <col min="3" max="3" width="12.6640625" style="39" bestFit="1" customWidth="1"/>
    <col min="4" max="4" width="16.6640625" style="39" bestFit="1" customWidth="1"/>
    <col min="5" max="5" width="13.6640625" style="39" bestFit="1" customWidth="1"/>
    <col min="6" max="6" width="11.5546875" style="39" bestFit="1" customWidth="1"/>
    <col min="7" max="7" width="10.5546875" style="39" bestFit="1" customWidth="1"/>
    <col min="8" max="8" width="29.88671875" style="39" customWidth="1"/>
    <col min="9" max="9" width="9.109375" style="39"/>
    <col min="10" max="10" width="12.33203125" style="39" bestFit="1" customWidth="1"/>
    <col min="11" max="11" width="9.109375" style="39"/>
    <col min="12" max="12" width="23.88671875" style="39" customWidth="1"/>
    <col min="13" max="13" width="9.33203125" style="39" customWidth="1"/>
    <col min="14" max="14" width="36.88671875" style="39" bestFit="1" customWidth="1"/>
    <col min="15" max="15" width="13.88671875" style="39" bestFit="1" customWidth="1"/>
    <col min="16" max="16384" width="9.109375" style="39"/>
  </cols>
  <sheetData>
    <row r="2" spans="1:18" x14ac:dyDescent="0.3">
      <c r="B2" s="39" t="s">
        <v>499</v>
      </c>
      <c r="C2" s="39">
        <v>1</v>
      </c>
      <c r="D2" s="39">
        <v>50000</v>
      </c>
      <c r="E2" s="43">
        <f>C2*D2</f>
        <v>50000</v>
      </c>
      <c r="N2" s="39" t="s">
        <v>539</v>
      </c>
    </row>
    <row r="3" spans="1:18" ht="86.4" x14ac:dyDescent="0.3">
      <c r="B3" s="40" t="s">
        <v>500</v>
      </c>
      <c r="C3" s="39">
        <v>3</v>
      </c>
      <c r="D3" s="39">
        <v>7500</v>
      </c>
      <c r="E3" s="43">
        <f t="shared" ref="E3:E16" si="0">C3*D3</f>
        <v>22500</v>
      </c>
      <c r="M3" s="52">
        <v>1</v>
      </c>
      <c r="N3" s="50" t="s">
        <v>538</v>
      </c>
      <c r="O3" s="51">
        <v>8000</v>
      </c>
    </row>
    <row r="4" spans="1:18" x14ac:dyDescent="0.3">
      <c r="A4" s="39" t="s">
        <v>511</v>
      </c>
      <c r="B4" s="40" t="s">
        <v>501</v>
      </c>
      <c r="C4" s="39">
        <v>2</v>
      </c>
      <c r="D4" s="39">
        <v>16000</v>
      </c>
      <c r="E4" s="43">
        <f t="shared" si="0"/>
        <v>32000</v>
      </c>
      <c r="G4" s="41" t="s">
        <v>533</v>
      </c>
      <c r="H4" s="39">
        <v>2</v>
      </c>
      <c r="I4" s="39">
        <v>15000</v>
      </c>
      <c r="J4" s="39">
        <f>H4*I4</f>
        <v>30000</v>
      </c>
      <c r="M4" s="39">
        <v>2</v>
      </c>
      <c r="N4" s="39" t="s">
        <v>534</v>
      </c>
      <c r="O4" s="43">
        <v>14500</v>
      </c>
      <c r="Q4" s="39">
        <v>13500</v>
      </c>
    </row>
    <row r="5" spans="1:18" x14ac:dyDescent="0.3">
      <c r="A5" s="39" t="s">
        <v>509</v>
      </c>
      <c r="B5" s="40" t="s">
        <v>502</v>
      </c>
      <c r="C5" s="39">
        <v>2</v>
      </c>
      <c r="D5" s="39">
        <v>14500</v>
      </c>
      <c r="E5" s="43">
        <f t="shared" si="0"/>
        <v>29000</v>
      </c>
      <c r="H5" s="39">
        <v>2</v>
      </c>
      <c r="I5" s="39">
        <v>13500</v>
      </c>
      <c r="J5" s="39">
        <f t="shared" ref="J5:J11" si="1">H5*I5</f>
        <v>27000</v>
      </c>
      <c r="M5" s="39">
        <v>3</v>
      </c>
      <c r="N5" s="39" t="s">
        <v>535</v>
      </c>
      <c r="O5" s="43">
        <v>11500</v>
      </c>
      <c r="Q5" s="39">
        <f>105*100</f>
        <v>10500</v>
      </c>
    </row>
    <row r="6" spans="1:18" x14ac:dyDescent="0.3">
      <c r="A6" s="39" t="s">
        <v>510</v>
      </c>
      <c r="B6" s="40" t="s">
        <v>503</v>
      </c>
      <c r="C6" s="39">
        <v>1</v>
      </c>
      <c r="D6" s="39">
        <v>16000</v>
      </c>
      <c r="E6" s="43">
        <f t="shared" si="0"/>
        <v>16000</v>
      </c>
      <c r="H6" s="39">
        <v>1</v>
      </c>
      <c r="I6" s="39">
        <v>15000</v>
      </c>
      <c r="J6" s="39">
        <f t="shared" si="1"/>
        <v>15000</v>
      </c>
      <c r="M6" s="41">
        <v>4</v>
      </c>
      <c r="N6" s="39" t="s">
        <v>536</v>
      </c>
      <c r="O6" s="43">
        <v>30000</v>
      </c>
    </row>
    <row r="7" spans="1:18" x14ac:dyDescent="0.3">
      <c r="A7" s="39" t="s">
        <v>512</v>
      </c>
      <c r="B7" s="40" t="s">
        <v>504</v>
      </c>
      <c r="C7" s="39">
        <v>1</v>
      </c>
      <c r="D7" s="39">
        <v>11000</v>
      </c>
      <c r="E7" s="43">
        <f t="shared" si="0"/>
        <v>11000</v>
      </c>
      <c r="H7" s="39">
        <v>1</v>
      </c>
      <c r="I7" s="39">
        <v>9000</v>
      </c>
      <c r="J7" s="39">
        <f t="shared" si="1"/>
        <v>9000</v>
      </c>
      <c r="K7" s="41"/>
      <c r="M7" s="39">
        <v>5</v>
      </c>
      <c r="N7" s="39" t="s">
        <v>537</v>
      </c>
      <c r="O7" s="43">
        <v>3000</v>
      </c>
    </row>
    <row r="8" spans="1:18" x14ac:dyDescent="0.3">
      <c r="B8" s="40" t="s">
        <v>505</v>
      </c>
      <c r="C8" s="39">
        <v>1</v>
      </c>
      <c r="D8" s="39">
        <v>7000</v>
      </c>
      <c r="E8" s="43">
        <f t="shared" si="0"/>
        <v>7000</v>
      </c>
      <c r="F8" s="39" t="s">
        <v>519</v>
      </c>
      <c r="J8" s="39">
        <f t="shared" si="1"/>
        <v>0</v>
      </c>
      <c r="N8" s="53" t="s">
        <v>83</v>
      </c>
      <c r="O8" s="54">
        <f>SUM(O3:O7)</f>
        <v>67000</v>
      </c>
      <c r="Q8" s="59">
        <f>SUM(Q4:Q7)</f>
        <v>24000</v>
      </c>
    </row>
    <row r="9" spans="1:18" x14ac:dyDescent="0.3">
      <c r="B9" s="40" t="s">
        <v>506</v>
      </c>
      <c r="C9" s="39">
        <v>100</v>
      </c>
      <c r="D9" s="39">
        <v>160</v>
      </c>
      <c r="E9" s="43">
        <f t="shared" si="0"/>
        <v>16000</v>
      </c>
      <c r="H9" s="39">
        <v>100</v>
      </c>
      <c r="I9" s="39">
        <v>145</v>
      </c>
      <c r="J9" s="39">
        <f t="shared" si="1"/>
        <v>14500</v>
      </c>
      <c r="K9" s="41"/>
    </row>
    <row r="10" spans="1:18" x14ac:dyDescent="0.3">
      <c r="B10" s="40" t="s">
        <v>507</v>
      </c>
      <c r="C10" s="39">
        <v>15</v>
      </c>
      <c r="D10" s="39">
        <v>450</v>
      </c>
      <c r="E10" s="43">
        <f t="shared" si="0"/>
        <v>6750</v>
      </c>
      <c r="H10" s="39">
        <v>15</v>
      </c>
      <c r="I10" s="39">
        <v>380</v>
      </c>
      <c r="J10" s="39">
        <f t="shared" si="1"/>
        <v>5700</v>
      </c>
    </row>
    <row r="11" spans="1:18" x14ac:dyDescent="0.3">
      <c r="B11" s="40" t="s">
        <v>508</v>
      </c>
      <c r="C11" s="39">
        <v>100</v>
      </c>
      <c r="D11" s="39">
        <v>115</v>
      </c>
      <c r="E11" s="43">
        <f t="shared" si="0"/>
        <v>11500</v>
      </c>
      <c r="H11" s="39">
        <v>100</v>
      </c>
      <c r="I11" s="39">
        <v>105</v>
      </c>
      <c r="J11" s="39">
        <f t="shared" si="1"/>
        <v>10500</v>
      </c>
      <c r="K11" s="41"/>
    </row>
    <row r="12" spans="1:18" x14ac:dyDescent="0.3">
      <c r="B12" s="40"/>
      <c r="E12" s="43">
        <f t="shared" si="0"/>
        <v>0</v>
      </c>
      <c r="I12" s="39" t="s">
        <v>83</v>
      </c>
      <c r="J12" s="60">
        <f>SUM(J4:J11)</f>
        <v>111700</v>
      </c>
      <c r="N12" s="39" t="s">
        <v>593</v>
      </c>
      <c r="Q12" s="42"/>
    </row>
    <row r="13" spans="1:18" ht="86.4" x14ac:dyDescent="0.3">
      <c r="B13" s="40" t="s">
        <v>513</v>
      </c>
      <c r="C13" s="39">
        <v>1</v>
      </c>
      <c r="D13" s="39">
        <v>6000</v>
      </c>
      <c r="E13" s="43">
        <f t="shared" si="0"/>
        <v>6000</v>
      </c>
      <c r="I13" s="55"/>
      <c r="J13" s="55">
        <v>-50000</v>
      </c>
      <c r="K13" s="56" t="s">
        <v>548</v>
      </c>
      <c r="L13" s="55"/>
      <c r="M13" s="56">
        <v>1</v>
      </c>
      <c r="N13" s="50" t="s">
        <v>538</v>
      </c>
      <c r="O13" s="39">
        <v>8300</v>
      </c>
      <c r="R13" s="39" t="s">
        <v>608</v>
      </c>
    </row>
    <row r="14" spans="1:18" x14ac:dyDescent="0.3">
      <c r="B14" s="40" t="s">
        <v>514</v>
      </c>
      <c r="C14" s="39">
        <v>1</v>
      </c>
      <c r="D14" s="39">
        <v>100000</v>
      </c>
      <c r="E14" s="43">
        <f t="shared" si="0"/>
        <v>100000</v>
      </c>
      <c r="H14" s="42" t="s">
        <v>563</v>
      </c>
      <c r="M14" s="39">
        <v>2</v>
      </c>
      <c r="N14" s="39" t="s">
        <v>594</v>
      </c>
      <c r="O14" s="39">
        <v>8500</v>
      </c>
      <c r="Q14" s="39">
        <v>7500</v>
      </c>
      <c r="R14" s="39">
        <v>7500</v>
      </c>
    </row>
    <row r="15" spans="1:18" x14ac:dyDescent="0.3">
      <c r="B15" s="40" t="s">
        <v>515</v>
      </c>
      <c r="C15" s="39">
        <v>1</v>
      </c>
      <c r="D15" s="39">
        <v>0</v>
      </c>
      <c r="E15" s="43">
        <f t="shared" si="0"/>
        <v>0</v>
      </c>
      <c r="F15" s="39" t="s">
        <v>517</v>
      </c>
      <c r="H15" s="39" t="s">
        <v>564</v>
      </c>
      <c r="J15" s="39">
        <v>15000</v>
      </c>
      <c r="M15" s="39">
        <v>3</v>
      </c>
      <c r="N15" s="39" t="s">
        <v>595</v>
      </c>
      <c r="O15" s="39">
        <v>6250</v>
      </c>
      <c r="Q15" s="39">
        <f>110*30+115*20</f>
        <v>5600</v>
      </c>
    </row>
    <row r="16" spans="1:18" x14ac:dyDescent="0.3">
      <c r="B16" s="39" t="s">
        <v>518</v>
      </c>
      <c r="C16" s="39">
        <v>12</v>
      </c>
      <c r="D16" s="39">
        <v>1500</v>
      </c>
      <c r="E16" s="43">
        <f t="shared" si="0"/>
        <v>18000</v>
      </c>
      <c r="H16" s="39" t="s">
        <v>565</v>
      </c>
      <c r="J16" s="39">
        <f>2*12000</f>
        <v>24000</v>
      </c>
      <c r="K16" s="39" t="s">
        <v>566</v>
      </c>
      <c r="M16" s="39">
        <v>4</v>
      </c>
      <c r="N16" s="39" t="s">
        <v>596</v>
      </c>
      <c r="O16" s="39">
        <v>17000</v>
      </c>
      <c r="Q16" s="39">
        <v>15000</v>
      </c>
    </row>
    <row r="17" spans="2:18" x14ac:dyDescent="0.3">
      <c r="B17" s="40" t="s">
        <v>516</v>
      </c>
      <c r="C17" s="39" t="s">
        <v>517</v>
      </c>
      <c r="E17" s="43"/>
      <c r="F17" s="39" t="s">
        <v>517</v>
      </c>
      <c r="H17" s="39" t="s">
        <v>567</v>
      </c>
      <c r="J17" s="39">
        <f>2*15000</f>
        <v>30000</v>
      </c>
      <c r="K17" s="39" t="s">
        <v>566</v>
      </c>
      <c r="M17" s="39">
        <v>5</v>
      </c>
      <c r="N17" s="39" t="s">
        <v>597</v>
      </c>
      <c r="O17" s="39">
        <v>3300</v>
      </c>
      <c r="Q17" s="39">
        <f>20*155</f>
        <v>3100</v>
      </c>
    </row>
    <row r="18" spans="2:18" x14ac:dyDescent="0.3">
      <c r="B18" s="40"/>
      <c r="E18" s="43"/>
      <c r="H18" s="39" t="s">
        <v>568</v>
      </c>
      <c r="J18" s="39">
        <f>10*380</f>
        <v>3800</v>
      </c>
      <c r="M18" s="39">
        <v>6</v>
      </c>
      <c r="N18" s="39" t="s">
        <v>598</v>
      </c>
      <c r="O18" s="39">
        <v>2350</v>
      </c>
      <c r="Q18" s="39">
        <f>5*380</f>
        <v>1900</v>
      </c>
    </row>
    <row r="19" spans="2:18" x14ac:dyDescent="0.3">
      <c r="B19" s="40"/>
      <c r="E19" s="43">
        <f>SUM(E2:E18)</f>
        <v>325750</v>
      </c>
      <c r="H19" s="39" t="s">
        <v>569</v>
      </c>
      <c r="J19" s="39">
        <f>50*140</f>
        <v>7000</v>
      </c>
      <c r="M19" s="39">
        <v>7</v>
      </c>
      <c r="N19" s="39" t="s">
        <v>501</v>
      </c>
      <c r="O19" s="39">
        <v>16500</v>
      </c>
      <c r="Q19" s="39">
        <v>15000</v>
      </c>
      <c r="R19" s="39">
        <v>15000</v>
      </c>
    </row>
    <row r="20" spans="2:18" x14ac:dyDescent="0.3">
      <c r="B20" s="40"/>
      <c r="C20" s="41" t="s">
        <v>520</v>
      </c>
      <c r="D20" s="39" t="s">
        <v>4</v>
      </c>
      <c r="E20" s="43">
        <v>-150000</v>
      </c>
      <c r="H20" s="39" t="s">
        <v>570</v>
      </c>
      <c r="J20" s="39">
        <f>115*50</f>
        <v>5750</v>
      </c>
      <c r="M20" s="39">
        <v>8</v>
      </c>
      <c r="N20" s="39" t="s">
        <v>536</v>
      </c>
      <c r="O20" s="39">
        <v>40000</v>
      </c>
    </row>
    <row r="21" spans="2:18" x14ac:dyDescent="0.3">
      <c r="B21" s="40"/>
      <c r="J21" s="60">
        <f>SUM(J15:J20)</f>
        <v>85550</v>
      </c>
      <c r="M21" s="39">
        <v>9</v>
      </c>
      <c r="N21" s="39" t="s">
        <v>599</v>
      </c>
      <c r="O21" s="39">
        <v>12000</v>
      </c>
    </row>
    <row r="22" spans="2:18" x14ac:dyDescent="0.3">
      <c r="B22" s="39" t="s">
        <v>521</v>
      </c>
      <c r="J22" s="39">
        <v>-50000</v>
      </c>
      <c r="K22" s="41" t="s">
        <v>571</v>
      </c>
      <c r="N22" s="53" t="s">
        <v>83</v>
      </c>
      <c r="O22" s="42">
        <f>SUM(O13:O21)</f>
        <v>114200</v>
      </c>
      <c r="Q22" s="59">
        <f>SUM(Q14:Q21)</f>
        <v>48100</v>
      </c>
      <c r="R22" s="59">
        <f>SUM(R14:R21)</f>
        <v>22500</v>
      </c>
    </row>
    <row r="23" spans="2:18" x14ac:dyDescent="0.3">
      <c r="B23" s="39" t="s">
        <v>522</v>
      </c>
      <c r="J23" s="39">
        <v>-4000</v>
      </c>
      <c r="K23" s="41" t="s">
        <v>584</v>
      </c>
    </row>
    <row r="24" spans="2:18" x14ac:dyDescent="0.3">
      <c r="B24" s="39" t="s">
        <v>523</v>
      </c>
    </row>
    <row r="25" spans="2:18" x14ac:dyDescent="0.3">
      <c r="H25" s="39" t="s">
        <v>609</v>
      </c>
      <c r="J25" s="43">
        <f>111700+24000+260+48100+22500+140</f>
        <v>206700</v>
      </c>
    </row>
    <row r="26" spans="2:18" x14ac:dyDescent="0.3">
      <c r="B26" s="39" t="s">
        <v>543</v>
      </c>
      <c r="C26" s="39" t="s">
        <v>544</v>
      </c>
      <c r="D26" s="39" t="s">
        <v>545</v>
      </c>
      <c r="E26" s="39" t="s">
        <v>546</v>
      </c>
      <c r="H26" s="39" t="s">
        <v>307</v>
      </c>
      <c r="J26" s="43">
        <v>85550</v>
      </c>
      <c r="Q26" s="42"/>
    </row>
    <row r="27" spans="2:18" x14ac:dyDescent="0.3">
      <c r="B27" s="39" t="s">
        <v>524</v>
      </c>
      <c r="H27" s="39" t="s">
        <v>577</v>
      </c>
      <c r="J27" s="43">
        <f>-(104000+27000+50000+40000+5000+13000+25000+1500+19200+3000+840+240+600)</f>
        <v>-289380</v>
      </c>
      <c r="K27" s="39" t="s">
        <v>708</v>
      </c>
      <c r="M27" s="41"/>
    </row>
    <row r="28" spans="2:18" x14ac:dyDescent="0.3">
      <c r="J28" s="43">
        <f>SUM(J25:J27)</f>
        <v>2870</v>
      </c>
    </row>
    <row r="31" spans="2:18" x14ac:dyDescent="0.3">
      <c r="H31" s="39" t="s">
        <v>619</v>
      </c>
      <c r="J31" s="39">
        <f>20000</f>
        <v>20000</v>
      </c>
      <c r="K31" s="39" t="s">
        <v>620</v>
      </c>
    </row>
    <row r="32" spans="2:18" x14ac:dyDescent="0.3">
      <c r="E32" s="43"/>
      <c r="F32" s="43"/>
      <c r="G32" s="43"/>
    </row>
    <row r="36" spans="13:13" x14ac:dyDescent="0.3">
      <c r="M36" s="41"/>
    </row>
    <row r="47" spans="13:13" x14ac:dyDescent="0.3">
      <c r="M47" s="41"/>
    </row>
    <row r="57" spans="13:13" x14ac:dyDescent="0.3">
      <c r="M57" s="41"/>
    </row>
    <row r="59" spans="13:13" x14ac:dyDescent="0.3">
      <c r="M59" s="41"/>
    </row>
    <row r="67" spans="13:13" x14ac:dyDescent="0.3">
      <c r="M67" s="41"/>
    </row>
    <row r="76" spans="13:13" x14ac:dyDescent="0.3">
      <c r="M76" s="41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87"/>
  <sheetViews>
    <sheetView workbookViewId="0">
      <selection activeCell="B64" sqref="B64"/>
    </sheetView>
  </sheetViews>
  <sheetFormatPr defaultRowHeight="14.4" x14ac:dyDescent="0.3"/>
  <cols>
    <col min="2" max="2" width="56" bestFit="1" customWidth="1"/>
    <col min="3" max="3" width="16.5546875" bestFit="1" customWidth="1"/>
    <col min="4" max="4" width="6.6640625" customWidth="1"/>
    <col min="5" max="5" width="8.33203125" customWidth="1"/>
    <col min="6" max="6" width="10.44140625" bestFit="1" customWidth="1"/>
    <col min="7" max="7" width="9.33203125" bestFit="1" customWidth="1"/>
    <col min="8" max="8" width="8" bestFit="1" customWidth="1"/>
    <col min="9" max="9" width="56.109375" bestFit="1" customWidth="1"/>
    <col min="11" max="11" width="4.33203125" bestFit="1" customWidth="1"/>
    <col min="12" max="12" width="46.5546875" bestFit="1" customWidth="1"/>
    <col min="13" max="13" width="4.109375" bestFit="1" customWidth="1"/>
    <col min="14" max="14" width="10" customWidth="1"/>
    <col min="15" max="15" width="9" bestFit="1" customWidth="1"/>
  </cols>
  <sheetData>
    <row r="1" spans="2:15" ht="15" thickBot="1" x14ac:dyDescent="0.35">
      <c r="B1" s="96" t="s">
        <v>2078</v>
      </c>
    </row>
    <row r="2" spans="2:15" ht="15" thickBot="1" x14ac:dyDescent="0.35">
      <c r="B2" s="97" t="s">
        <v>1753</v>
      </c>
      <c r="F2" s="6"/>
      <c r="M2" s="129"/>
      <c r="N2" s="129"/>
      <c r="O2" s="129"/>
    </row>
    <row r="3" spans="2:15" x14ac:dyDescent="0.3">
      <c r="B3" s="98" t="s">
        <v>2047</v>
      </c>
      <c r="C3" s="3"/>
      <c r="D3" s="61"/>
      <c r="E3" s="62"/>
      <c r="F3" s="62"/>
      <c r="M3" s="3"/>
      <c r="N3" s="3"/>
      <c r="O3" s="3"/>
    </row>
    <row r="4" spans="2:15" x14ac:dyDescent="0.3">
      <c r="B4" s="99" t="s">
        <v>2048</v>
      </c>
      <c r="D4" s="8"/>
      <c r="E4" s="8"/>
      <c r="F4" s="8"/>
      <c r="H4" s="8"/>
      <c r="M4" s="63"/>
      <c r="N4" s="1"/>
      <c r="O4" s="64"/>
    </row>
    <row r="5" spans="2:15" x14ac:dyDescent="0.3">
      <c r="B5" s="99" t="s">
        <v>2049</v>
      </c>
      <c r="D5" s="8"/>
      <c r="E5" s="8"/>
      <c r="F5" s="8"/>
      <c r="H5" s="8"/>
      <c r="M5" s="63"/>
      <c r="N5" s="1"/>
      <c r="O5" s="65"/>
    </row>
    <row r="6" spans="2:15" x14ac:dyDescent="0.3">
      <c r="B6" s="100" t="s">
        <v>2050</v>
      </c>
      <c r="D6" s="8"/>
      <c r="E6" s="8"/>
      <c r="F6" s="8"/>
      <c r="H6" s="8"/>
    </row>
    <row r="7" spans="2:15" x14ac:dyDescent="0.3">
      <c r="B7" s="100" t="s">
        <v>2051</v>
      </c>
      <c r="D7" s="8"/>
      <c r="E7" s="8"/>
      <c r="F7" s="8"/>
      <c r="N7" s="62"/>
      <c r="O7" s="62"/>
    </row>
    <row r="8" spans="2:15" x14ac:dyDescent="0.3">
      <c r="B8" s="100" t="s">
        <v>2052</v>
      </c>
      <c r="D8" s="8"/>
      <c r="E8" s="8"/>
      <c r="F8" s="8"/>
      <c r="H8" s="8"/>
    </row>
    <row r="9" spans="2:15" x14ac:dyDescent="0.3">
      <c r="B9" s="100" t="s">
        <v>2053</v>
      </c>
      <c r="D9" s="8"/>
      <c r="E9" s="8"/>
      <c r="F9" s="8"/>
      <c r="H9" s="66"/>
    </row>
    <row r="10" spans="2:15" x14ac:dyDescent="0.3">
      <c r="B10" s="100" t="s">
        <v>2054</v>
      </c>
      <c r="D10" s="8"/>
      <c r="E10" s="8"/>
      <c r="F10" s="8"/>
    </row>
    <row r="11" spans="2:15" x14ac:dyDescent="0.3">
      <c r="B11" s="99" t="s">
        <v>2055</v>
      </c>
      <c r="D11" s="8"/>
      <c r="E11" s="8"/>
      <c r="F11" s="8"/>
    </row>
    <row r="12" spans="2:15" x14ac:dyDescent="0.3">
      <c r="B12" s="100" t="s">
        <v>2056</v>
      </c>
      <c r="D12" s="8"/>
      <c r="E12" s="8"/>
      <c r="F12" s="8"/>
    </row>
    <row r="13" spans="2:15" x14ac:dyDescent="0.3">
      <c r="B13" s="100" t="s">
        <v>2057</v>
      </c>
      <c r="D13" s="8"/>
      <c r="E13" s="8"/>
      <c r="F13" s="8"/>
    </row>
    <row r="14" spans="2:15" x14ac:dyDescent="0.3">
      <c r="B14" s="100" t="s">
        <v>2058</v>
      </c>
      <c r="D14" s="8"/>
      <c r="E14" s="8"/>
      <c r="F14" s="8"/>
    </row>
    <row r="15" spans="2:15" x14ac:dyDescent="0.3">
      <c r="B15" s="100" t="s">
        <v>2059</v>
      </c>
      <c r="F15" s="27"/>
    </row>
    <row r="16" spans="2:15" x14ac:dyDescent="0.3">
      <c r="B16" s="100" t="s">
        <v>2085</v>
      </c>
      <c r="F16" s="27"/>
    </row>
    <row r="17" spans="2:6" x14ac:dyDescent="0.3">
      <c r="B17" s="100" t="s">
        <v>2084</v>
      </c>
      <c r="D17" s="6"/>
      <c r="F17" s="27"/>
    </row>
    <row r="18" spans="2:6" x14ac:dyDescent="0.3">
      <c r="B18" s="101" t="s">
        <v>2060</v>
      </c>
      <c r="D18" s="6"/>
      <c r="F18" s="27"/>
    </row>
    <row r="19" spans="2:6" x14ac:dyDescent="0.3">
      <c r="B19" s="99" t="s">
        <v>2061</v>
      </c>
      <c r="F19" s="27"/>
    </row>
    <row r="20" spans="2:6" ht="28.8" x14ac:dyDescent="0.3">
      <c r="B20" s="99" t="s">
        <v>2062</v>
      </c>
    </row>
    <row r="21" spans="2:6" x14ac:dyDescent="0.3">
      <c r="B21" s="99" t="s">
        <v>2063</v>
      </c>
    </row>
    <row r="22" spans="2:6" x14ac:dyDescent="0.3">
      <c r="B22" s="100" t="s">
        <v>2064</v>
      </c>
    </row>
    <row r="23" spans="2:6" ht="28.8" x14ac:dyDescent="0.3">
      <c r="B23" s="100" t="s">
        <v>2065</v>
      </c>
    </row>
    <row r="24" spans="2:6" x14ac:dyDescent="0.3">
      <c r="B24" s="99" t="s">
        <v>2066</v>
      </c>
    </row>
    <row r="25" spans="2:6" x14ac:dyDescent="0.3">
      <c r="B25" s="101" t="s">
        <v>2067</v>
      </c>
    </row>
    <row r="26" spans="2:6" ht="28.8" x14ac:dyDescent="0.3">
      <c r="B26" s="99" t="s">
        <v>2068</v>
      </c>
    </row>
    <row r="27" spans="2:6" x14ac:dyDescent="0.3">
      <c r="B27" s="99" t="s">
        <v>2069</v>
      </c>
    </row>
    <row r="28" spans="2:6" x14ac:dyDescent="0.3">
      <c r="B28" s="99" t="s">
        <v>2070</v>
      </c>
    </row>
    <row r="29" spans="2:6" x14ac:dyDescent="0.3">
      <c r="B29" s="99" t="s">
        <v>2071</v>
      </c>
    </row>
    <row r="30" spans="2:6" x14ac:dyDescent="0.3">
      <c r="B30" s="101" t="s">
        <v>2072</v>
      </c>
    </row>
    <row r="31" spans="2:6" ht="28.8" x14ac:dyDescent="0.3">
      <c r="B31" s="99" t="s">
        <v>2079</v>
      </c>
    </row>
    <row r="32" spans="2:6" ht="28.8" x14ac:dyDescent="0.3">
      <c r="B32" s="99" t="s">
        <v>2080</v>
      </c>
    </row>
    <row r="33" spans="2:2" x14ac:dyDescent="0.3">
      <c r="B33" s="101" t="s">
        <v>2081</v>
      </c>
    </row>
    <row r="34" spans="2:2" ht="28.8" x14ac:dyDescent="0.3">
      <c r="B34" s="99" t="s">
        <v>2082</v>
      </c>
    </row>
    <row r="35" spans="2:2" x14ac:dyDescent="0.3">
      <c r="B35" s="99" t="s">
        <v>2083</v>
      </c>
    </row>
    <row r="36" spans="2:2" ht="15" thickBot="1" x14ac:dyDescent="0.35">
      <c r="B36" s="102"/>
    </row>
    <row r="37" spans="2:2" x14ac:dyDescent="0.3">
      <c r="B37" s="105"/>
    </row>
    <row r="38" spans="2:2" x14ac:dyDescent="0.3">
      <c r="B38" s="107" t="s">
        <v>1739</v>
      </c>
    </row>
    <row r="39" spans="2:2" x14ac:dyDescent="0.3">
      <c r="B39" s="106" t="s">
        <v>2096</v>
      </c>
    </row>
    <row r="40" spans="2:2" x14ac:dyDescent="0.3">
      <c r="B40" s="106" t="s">
        <v>2097</v>
      </c>
    </row>
    <row r="41" spans="2:2" ht="28.8" x14ac:dyDescent="0.3">
      <c r="B41" s="106" t="s">
        <v>2098</v>
      </c>
    </row>
    <row r="42" spans="2:2" x14ac:dyDescent="0.3">
      <c r="B42" s="106" t="s">
        <v>2099</v>
      </c>
    </row>
    <row r="43" spans="2:2" x14ac:dyDescent="0.3">
      <c r="B43" s="106" t="s">
        <v>2100</v>
      </c>
    </row>
    <row r="44" spans="2:2" x14ac:dyDescent="0.3">
      <c r="B44" s="106" t="s">
        <v>2101</v>
      </c>
    </row>
    <row r="45" spans="2:2" x14ac:dyDescent="0.3">
      <c r="B45" s="106" t="s">
        <v>2102</v>
      </c>
    </row>
    <row r="46" spans="2:2" x14ac:dyDescent="0.3">
      <c r="B46" s="106" t="s">
        <v>2103</v>
      </c>
    </row>
    <row r="47" spans="2:2" x14ac:dyDescent="0.3">
      <c r="B47" s="106" t="s">
        <v>2104</v>
      </c>
    </row>
    <row r="48" spans="2:2" x14ac:dyDescent="0.3">
      <c r="B48" s="106" t="s">
        <v>2105</v>
      </c>
    </row>
    <row r="49" spans="2:6" x14ac:dyDescent="0.3">
      <c r="B49" s="106" t="s">
        <v>2106</v>
      </c>
    </row>
    <row r="50" spans="2:6" x14ac:dyDescent="0.3">
      <c r="B50" s="106" t="s">
        <v>2107</v>
      </c>
    </row>
    <row r="51" spans="2:6" x14ac:dyDescent="0.3">
      <c r="B51" s="106"/>
    </row>
    <row r="52" spans="2:6" x14ac:dyDescent="0.3">
      <c r="B52" s="94"/>
    </row>
    <row r="53" spans="2:6" x14ac:dyDescent="0.3">
      <c r="B53" t="s">
        <v>2073</v>
      </c>
      <c r="F53" s="6"/>
    </row>
    <row r="54" spans="2:6" x14ac:dyDescent="0.3">
      <c r="B54" t="s">
        <v>2074</v>
      </c>
    </row>
    <row r="55" spans="2:6" x14ac:dyDescent="0.3">
      <c r="B55" t="s">
        <v>2075</v>
      </c>
    </row>
    <row r="56" spans="2:6" x14ac:dyDescent="0.3">
      <c r="B56" t="s">
        <v>2076</v>
      </c>
    </row>
    <row r="57" spans="2:6" x14ac:dyDescent="0.3">
      <c r="B57" t="s">
        <v>2077</v>
      </c>
    </row>
    <row r="59" spans="2:6" x14ac:dyDescent="0.3">
      <c r="B59" s="104" t="s">
        <v>2086</v>
      </c>
      <c r="C59" s="17" t="s">
        <v>2089</v>
      </c>
      <c r="D59" s="17" t="s">
        <v>699</v>
      </c>
      <c r="E59" s="17" t="s">
        <v>83</v>
      </c>
    </row>
    <row r="60" spans="2:6" x14ac:dyDescent="0.3">
      <c r="B60" t="s">
        <v>1753</v>
      </c>
      <c r="C60" s="44">
        <v>40000</v>
      </c>
      <c r="D60">
        <v>1</v>
      </c>
      <c r="E60" s="44">
        <f>C60*D60</f>
        <v>40000</v>
      </c>
    </row>
    <row r="61" spans="2:6" x14ac:dyDescent="0.3">
      <c r="B61" t="s">
        <v>2087</v>
      </c>
      <c r="C61" s="44">
        <v>30000</v>
      </c>
      <c r="D61">
        <v>3</v>
      </c>
      <c r="E61" s="44">
        <f>C61*D61</f>
        <v>90000</v>
      </c>
    </row>
    <row r="62" spans="2:6" x14ac:dyDescent="0.3">
      <c r="B62" t="s">
        <v>2088</v>
      </c>
      <c r="C62" s="44">
        <v>30000</v>
      </c>
      <c r="D62">
        <v>1</v>
      </c>
      <c r="E62" s="44">
        <f>C62*D62</f>
        <v>30000</v>
      </c>
    </row>
    <row r="63" spans="2:6" x14ac:dyDescent="0.3">
      <c r="B63" t="s">
        <v>2092</v>
      </c>
      <c r="C63" s="44">
        <v>12000</v>
      </c>
      <c r="D63">
        <v>5</v>
      </c>
      <c r="E63" s="44">
        <f>C63*D63</f>
        <v>60000</v>
      </c>
    </row>
    <row r="64" spans="2:6" x14ac:dyDescent="0.3">
      <c r="C64" s="130" t="s">
        <v>2094</v>
      </c>
      <c r="D64" s="130"/>
      <c r="E64" s="103">
        <f>SUM(E60:E63)</f>
        <v>220000</v>
      </c>
    </row>
    <row r="65" spans="2:15" x14ac:dyDescent="0.3">
      <c r="B65" s="17" t="s">
        <v>2090</v>
      </c>
    </row>
    <row r="66" spans="2:15" x14ac:dyDescent="0.3">
      <c r="B66" t="s">
        <v>2091</v>
      </c>
      <c r="C66" s="44">
        <v>15000</v>
      </c>
      <c r="D66">
        <v>5</v>
      </c>
      <c r="E66" s="44">
        <f>C66*D66</f>
        <v>75000</v>
      </c>
    </row>
    <row r="67" spans="2:15" x14ac:dyDescent="0.3">
      <c r="B67" t="s">
        <v>2093</v>
      </c>
      <c r="C67" s="44">
        <v>14400</v>
      </c>
      <c r="D67">
        <v>5</v>
      </c>
      <c r="E67" s="44">
        <f>C67*D67</f>
        <v>72000</v>
      </c>
    </row>
    <row r="68" spans="2:15" x14ac:dyDescent="0.3">
      <c r="C68" s="130" t="s">
        <v>2095</v>
      </c>
      <c r="D68" s="130"/>
      <c r="E68" s="44">
        <f>SUM(E66:E67)</f>
        <v>147000</v>
      </c>
    </row>
    <row r="69" spans="2:15" x14ac:dyDescent="0.3">
      <c r="K69" s="71"/>
      <c r="L69" s="71"/>
      <c r="M69" s="72"/>
      <c r="N69" s="72"/>
      <c r="O69" s="72"/>
    </row>
    <row r="70" spans="2:15" x14ac:dyDescent="0.3">
      <c r="M70" s="69"/>
      <c r="N70" s="8"/>
      <c r="O70" s="8"/>
    </row>
    <row r="71" spans="2:15" x14ac:dyDescent="0.3">
      <c r="M71" s="69"/>
      <c r="N71" s="8"/>
      <c r="O71" s="8"/>
    </row>
    <row r="72" spans="2:15" x14ac:dyDescent="0.3">
      <c r="M72" s="69"/>
      <c r="N72" s="8"/>
      <c r="O72" s="8"/>
    </row>
    <row r="73" spans="2:15" x14ac:dyDescent="0.3">
      <c r="M73" s="69"/>
      <c r="N73" s="8"/>
      <c r="O73" s="8"/>
    </row>
    <row r="74" spans="2:15" x14ac:dyDescent="0.3">
      <c r="M74" s="69"/>
      <c r="N74" s="8"/>
      <c r="O74" s="8"/>
    </row>
    <row r="75" spans="2:15" x14ac:dyDescent="0.3">
      <c r="M75" s="69"/>
      <c r="N75" s="8"/>
      <c r="O75" s="8"/>
    </row>
    <row r="76" spans="2:15" x14ac:dyDescent="0.3">
      <c r="M76" s="69"/>
      <c r="N76" s="8"/>
      <c r="O76" s="8"/>
    </row>
    <row r="77" spans="2:15" x14ac:dyDescent="0.3">
      <c r="M77" s="69"/>
      <c r="N77" s="8"/>
      <c r="O77" s="8"/>
    </row>
    <row r="78" spans="2:15" x14ac:dyDescent="0.3">
      <c r="M78" s="69"/>
      <c r="N78" s="8"/>
      <c r="O78" s="8"/>
    </row>
    <row r="79" spans="2:15" x14ac:dyDescent="0.3">
      <c r="M79" s="69"/>
      <c r="N79" s="8"/>
      <c r="O79" s="8"/>
    </row>
    <row r="80" spans="2:15" x14ac:dyDescent="0.3">
      <c r="M80" s="69"/>
      <c r="N80" s="8"/>
      <c r="O80" s="8"/>
    </row>
    <row r="81" spans="11:15" x14ac:dyDescent="0.3">
      <c r="M81" s="69"/>
      <c r="N81" s="8"/>
      <c r="O81" s="8"/>
    </row>
    <row r="82" spans="11:15" x14ac:dyDescent="0.3">
      <c r="M82" s="69"/>
      <c r="N82" s="8"/>
      <c r="O82" s="8"/>
    </row>
    <row r="83" spans="11:15" x14ac:dyDescent="0.3">
      <c r="M83" s="69"/>
      <c r="N83" s="8"/>
      <c r="O83" s="8"/>
    </row>
    <row r="84" spans="11:15" x14ac:dyDescent="0.3">
      <c r="M84" s="69"/>
      <c r="N84" s="8"/>
      <c r="O84" s="8"/>
    </row>
    <row r="85" spans="11:15" x14ac:dyDescent="0.3">
      <c r="M85" s="69"/>
      <c r="N85" s="8"/>
      <c r="O85" s="8"/>
    </row>
    <row r="86" spans="11:15" x14ac:dyDescent="0.3">
      <c r="M86" s="69"/>
      <c r="N86" s="8"/>
      <c r="O86" s="8"/>
    </row>
    <row r="87" spans="11:15" x14ac:dyDescent="0.3">
      <c r="K87" s="73"/>
      <c r="L87" s="75"/>
      <c r="M87" s="73"/>
      <c r="N87" s="73"/>
      <c r="O87" s="74"/>
    </row>
  </sheetData>
  <mergeCells count="3">
    <mergeCell ref="M2:O2"/>
    <mergeCell ref="C64:D64"/>
    <mergeCell ref="C68:D6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8"/>
  <sheetViews>
    <sheetView topLeftCell="A25" workbookViewId="0">
      <selection activeCell="D13" sqref="D13"/>
    </sheetView>
  </sheetViews>
  <sheetFormatPr defaultRowHeight="14.4" x14ac:dyDescent="0.3"/>
  <cols>
    <col min="2" max="2" width="10.44140625" bestFit="1" customWidth="1"/>
    <col min="3" max="3" width="11.5546875" bestFit="1" customWidth="1"/>
    <col min="4" max="4" width="49.5546875" bestFit="1" customWidth="1"/>
    <col min="5" max="5" width="15.44140625" customWidth="1"/>
    <col min="6" max="6" width="3.33203125" customWidth="1"/>
    <col min="7" max="7" width="2.109375" customWidth="1"/>
    <col min="8" max="8" width="10.44140625" bestFit="1" customWidth="1"/>
    <col min="9" max="9" width="13.33203125" bestFit="1" customWidth="1"/>
    <col min="10" max="10" width="46" customWidth="1"/>
  </cols>
  <sheetData>
    <row r="2" spans="2:10" x14ac:dyDescent="0.3">
      <c r="B2" s="127" t="s">
        <v>752</v>
      </c>
      <c r="C2" s="127"/>
      <c r="D2" s="127"/>
      <c r="E2" s="127"/>
      <c r="F2" s="127"/>
      <c r="H2" s="127" t="s">
        <v>353</v>
      </c>
      <c r="I2" s="127"/>
      <c r="J2" s="127"/>
    </row>
    <row r="3" spans="2:10" x14ac:dyDescent="0.3">
      <c r="B3" s="68">
        <v>43282</v>
      </c>
      <c r="C3" s="8">
        <v>100000</v>
      </c>
      <c r="D3" t="s">
        <v>988</v>
      </c>
      <c r="H3" s="68">
        <v>43252</v>
      </c>
      <c r="I3" s="8">
        <v>20000</v>
      </c>
      <c r="J3" t="s">
        <v>753</v>
      </c>
    </row>
    <row r="4" spans="2:10" x14ac:dyDescent="0.3">
      <c r="B4" s="68">
        <v>43282</v>
      </c>
      <c r="C4" s="8">
        <v>200000</v>
      </c>
      <c r="D4" t="s">
        <v>759</v>
      </c>
      <c r="H4" s="68">
        <v>43252</v>
      </c>
      <c r="I4" s="8">
        <f>2000+4000</f>
        <v>6000</v>
      </c>
      <c r="J4" t="s">
        <v>754</v>
      </c>
    </row>
    <row r="5" spans="2:10" x14ac:dyDescent="0.3">
      <c r="B5" s="6" t="s">
        <v>758</v>
      </c>
      <c r="C5" s="8">
        <v>1475000</v>
      </c>
      <c r="D5" t="s">
        <v>760</v>
      </c>
      <c r="H5" s="68">
        <v>43252</v>
      </c>
      <c r="I5" s="8">
        <v>7000000</v>
      </c>
      <c r="J5" t="s">
        <v>755</v>
      </c>
    </row>
    <row r="6" spans="2:10" x14ac:dyDescent="0.3">
      <c r="C6" s="8">
        <v>100000</v>
      </c>
      <c r="D6" t="s">
        <v>828</v>
      </c>
      <c r="H6" s="6" t="s">
        <v>796</v>
      </c>
      <c r="I6" s="8">
        <v>1700000</v>
      </c>
      <c r="J6" t="s">
        <v>989</v>
      </c>
    </row>
    <row r="7" spans="2:10" x14ac:dyDescent="0.3">
      <c r="H7" s="6" t="s">
        <v>781</v>
      </c>
      <c r="I7" s="8">
        <v>233300</v>
      </c>
      <c r="J7" t="s">
        <v>990</v>
      </c>
    </row>
    <row r="8" spans="2:10" x14ac:dyDescent="0.3">
      <c r="H8" s="6" t="s">
        <v>673</v>
      </c>
      <c r="I8" s="8">
        <v>185840</v>
      </c>
      <c r="J8" t="s">
        <v>797</v>
      </c>
    </row>
    <row r="9" spans="2:10" x14ac:dyDescent="0.3">
      <c r="H9" s="6" t="s">
        <v>673</v>
      </c>
      <c r="I9" s="76">
        <f>12000+2000</f>
        <v>14000</v>
      </c>
      <c r="J9" t="s">
        <v>798</v>
      </c>
    </row>
    <row r="10" spans="2:10" x14ac:dyDescent="0.3">
      <c r="H10" s="6" t="s">
        <v>799</v>
      </c>
      <c r="I10" s="8">
        <v>6200</v>
      </c>
      <c r="J10" t="s">
        <v>800</v>
      </c>
    </row>
    <row r="11" spans="2:10" x14ac:dyDescent="0.3">
      <c r="C11" s="6" t="s">
        <v>1030</v>
      </c>
      <c r="E11">
        <v>2300</v>
      </c>
      <c r="H11" s="6" t="s">
        <v>802</v>
      </c>
      <c r="I11" s="8">
        <v>3000</v>
      </c>
      <c r="J11" t="s">
        <v>801</v>
      </c>
    </row>
    <row r="12" spans="2:10" x14ac:dyDescent="0.3">
      <c r="I12" s="8">
        <v>15000</v>
      </c>
      <c r="J12" t="s">
        <v>814</v>
      </c>
    </row>
    <row r="13" spans="2:10" x14ac:dyDescent="0.3">
      <c r="I13" s="22">
        <v>10000</v>
      </c>
      <c r="J13" t="s">
        <v>815</v>
      </c>
    </row>
    <row r="14" spans="2:10" x14ac:dyDescent="0.3">
      <c r="H14" s="6" t="s">
        <v>816</v>
      </c>
      <c r="I14" s="8">
        <v>8450</v>
      </c>
      <c r="J14" t="s">
        <v>825</v>
      </c>
    </row>
    <row r="15" spans="2:10" x14ac:dyDescent="0.3">
      <c r="H15" s="6" t="s">
        <v>816</v>
      </c>
      <c r="I15" s="8">
        <v>9000</v>
      </c>
      <c r="J15" t="s">
        <v>818</v>
      </c>
    </row>
    <row r="16" spans="2:10" x14ac:dyDescent="0.3">
      <c r="H16" s="6" t="s">
        <v>817</v>
      </c>
      <c r="I16" s="8">
        <v>4200</v>
      </c>
      <c r="J16" t="s">
        <v>819</v>
      </c>
    </row>
    <row r="17" spans="8:10" x14ac:dyDescent="0.3">
      <c r="H17" s="6" t="s">
        <v>823</v>
      </c>
      <c r="I17" s="22">
        <v>20000</v>
      </c>
      <c r="J17" t="s">
        <v>815</v>
      </c>
    </row>
    <row r="18" spans="8:10" x14ac:dyDescent="0.3">
      <c r="H18" s="6" t="s">
        <v>823</v>
      </c>
      <c r="I18" s="8">
        <v>3000</v>
      </c>
      <c r="J18" t="s">
        <v>824</v>
      </c>
    </row>
    <row r="19" spans="8:10" x14ac:dyDescent="0.3">
      <c r="H19" s="6" t="s">
        <v>826</v>
      </c>
      <c r="I19" s="8">
        <v>15000</v>
      </c>
      <c r="J19" t="s">
        <v>827</v>
      </c>
    </row>
    <row r="20" spans="8:10" x14ac:dyDescent="0.3">
      <c r="H20" s="6" t="s">
        <v>826</v>
      </c>
      <c r="I20" s="76">
        <f>1500+5000+2000+2000</f>
        <v>10500</v>
      </c>
      <c r="J20" t="s">
        <v>923</v>
      </c>
    </row>
    <row r="21" spans="8:10" x14ac:dyDescent="0.3">
      <c r="H21" s="6" t="s">
        <v>829</v>
      </c>
      <c r="I21" s="8">
        <v>5000</v>
      </c>
      <c r="J21" t="s">
        <v>835</v>
      </c>
    </row>
    <row r="22" spans="8:10" x14ac:dyDescent="0.3">
      <c r="H22" s="6" t="s">
        <v>830</v>
      </c>
      <c r="I22" s="8">
        <v>50000</v>
      </c>
      <c r="J22" t="s">
        <v>831</v>
      </c>
    </row>
    <row r="23" spans="8:10" x14ac:dyDescent="0.3">
      <c r="H23" s="6" t="s">
        <v>833</v>
      </c>
      <c r="I23" s="8">
        <v>9700</v>
      </c>
      <c r="J23" t="s">
        <v>832</v>
      </c>
    </row>
    <row r="24" spans="8:10" x14ac:dyDescent="0.3">
      <c r="H24" s="6" t="s">
        <v>834</v>
      </c>
      <c r="I24" s="22">
        <v>20000</v>
      </c>
      <c r="J24" t="s">
        <v>815</v>
      </c>
    </row>
    <row r="25" spans="8:10" x14ac:dyDescent="0.3">
      <c r="H25" s="6" t="s">
        <v>834</v>
      </c>
      <c r="I25" s="8">
        <v>34500</v>
      </c>
      <c r="J25" t="s">
        <v>836</v>
      </c>
    </row>
    <row r="26" spans="8:10" x14ac:dyDescent="0.3">
      <c r="H26" s="6" t="s">
        <v>837</v>
      </c>
      <c r="I26" s="76">
        <f>4000+1000</f>
        <v>5000</v>
      </c>
      <c r="J26" t="s">
        <v>900</v>
      </c>
    </row>
    <row r="27" spans="8:10" x14ac:dyDescent="0.3">
      <c r="H27" s="6" t="s">
        <v>834</v>
      </c>
      <c r="I27" s="8">
        <v>10000</v>
      </c>
      <c r="J27" t="s">
        <v>838</v>
      </c>
    </row>
    <row r="28" spans="8:10" x14ac:dyDescent="0.3">
      <c r="H28" s="6" t="s">
        <v>842</v>
      </c>
      <c r="I28" s="8">
        <v>3600</v>
      </c>
      <c r="J28" t="s">
        <v>841</v>
      </c>
    </row>
    <row r="29" spans="8:10" x14ac:dyDescent="0.3">
      <c r="H29" s="6" t="s">
        <v>842</v>
      </c>
      <c r="I29" s="8">
        <v>10600</v>
      </c>
      <c r="J29" t="s">
        <v>843</v>
      </c>
    </row>
    <row r="30" spans="8:10" x14ac:dyDescent="0.3">
      <c r="H30" s="6" t="s">
        <v>863</v>
      </c>
      <c r="I30" s="8">
        <v>2800</v>
      </c>
      <c r="J30" t="s">
        <v>864</v>
      </c>
    </row>
    <row r="31" spans="8:10" x14ac:dyDescent="0.3">
      <c r="H31" s="6" t="s">
        <v>865</v>
      </c>
      <c r="I31" s="8">
        <v>2150</v>
      </c>
      <c r="J31" t="s">
        <v>866</v>
      </c>
    </row>
    <row r="32" spans="8:10" x14ac:dyDescent="0.3">
      <c r="H32" s="6" t="s">
        <v>876</v>
      </c>
      <c r="I32" s="8">
        <v>10400</v>
      </c>
      <c r="J32" t="s">
        <v>877</v>
      </c>
    </row>
    <row r="33" spans="8:10" x14ac:dyDescent="0.3">
      <c r="H33" s="6" t="s">
        <v>876</v>
      </c>
      <c r="I33" s="8">
        <v>800</v>
      </c>
      <c r="J33" t="s">
        <v>878</v>
      </c>
    </row>
    <row r="34" spans="8:10" x14ac:dyDescent="0.3">
      <c r="H34" s="6" t="s">
        <v>876</v>
      </c>
      <c r="I34" s="8">
        <v>250</v>
      </c>
      <c r="J34" t="s">
        <v>879</v>
      </c>
    </row>
    <row r="35" spans="8:10" x14ac:dyDescent="0.3">
      <c r="H35" s="6" t="s">
        <v>865</v>
      </c>
      <c r="I35" s="76">
        <v>5000</v>
      </c>
      <c r="J35" t="s">
        <v>901</v>
      </c>
    </row>
    <row r="36" spans="8:10" x14ac:dyDescent="0.3">
      <c r="H36" s="6" t="s">
        <v>880</v>
      </c>
      <c r="I36" s="8">
        <v>4000</v>
      </c>
      <c r="J36" t="s">
        <v>881</v>
      </c>
    </row>
    <row r="37" spans="8:10" x14ac:dyDescent="0.3">
      <c r="H37" s="6" t="s">
        <v>880</v>
      </c>
      <c r="I37">
        <f>280-1000</f>
        <v>-720</v>
      </c>
      <c r="J37" t="s">
        <v>882</v>
      </c>
    </row>
    <row r="38" spans="8:10" x14ac:dyDescent="0.3">
      <c r="H38" s="6" t="s">
        <v>880</v>
      </c>
      <c r="I38" s="8">
        <v>6500</v>
      </c>
      <c r="J38" t="s">
        <v>883</v>
      </c>
    </row>
    <row r="39" spans="8:10" x14ac:dyDescent="0.3">
      <c r="H39" s="6" t="s">
        <v>884</v>
      </c>
      <c r="I39">
        <v>100</v>
      </c>
      <c r="J39" t="s">
        <v>889</v>
      </c>
    </row>
    <row r="40" spans="8:10" x14ac:dyDescent="0.3">
      <c r="H40" s="6" t="s">
        <v>890</v>
      </c>
      <c r="I40" s="8">
        <v>14500</v>
      </c>
      <c r="J40" t="s">
        <v>883</v>
      </c>
    </row>
    <row r="41" spans="8:10" x14ac:dyDescent="0.3">
      <c r="H41" s="6" t="s">
        <v>890</v>
      </c>
      <c r="I41" s="22">
        <v>20000</v>
      </c>
      <c r="J41" t="s">
        <v>815</v>
      </c>
    </row>
    <row r="42" spans="8:10" x14ac:dyDescent="0.3">
      <c r="H42" s="6" t="s">
        <v>890</v>
      </c>
      <c r="I42">
        <v>1760</v>
      </c>
      <c r="J42" t="s">
        <v>908</v>
      </c>
    </row>
    <row r="43" spans="8:10" x14ac:dyDescent="0.3">
      <c r="H43" s="6" t="s">
        <v>880</v>
      </c>
      <c r="I43">
        <v>3800</v>
      </c>
      <c r="J43" t="s">
        <v>893</v>
      </c>
    </row>
    <row r="44" spans="8:10" x14ac:dyDescent="0.3">
      <c r="H44" s="6" t="s">
        <v>897</v>
      </c>
      <c r="I44">
        <f>2400+1000+350</f>
        <v>3750</v>
      </c>
      <c r="J44" t="s">
        <v>898</v>
      </c>
    </row>
    <row r="45" spans="8:10" x14ac:dyDescent="0.3">
      <c r="H45" s="6" t="s">
        <v>897</v>
      </c>
      <c r="I45">
        <f>80+200</f>
        <v>280</v>
      </c>
      <c r="J45" t="s">
        <v>899</v>
      </c>
    </row>
    <row r="46" spans="8:10" x14ac:dyDescent="0.3">
      <c r="H46" s="68">
        <v>43374</v>
      </c>
      <c r="I46">
        <v>14000</v>
      </c>
      <c r="J46" t="s">
        <v>902</v>
      </c>
    </row>
    <row r="47" spans="8:10" x14ac:dyDescent="0.3">
      <c r="H47" s="6" t="s">
        <v>907</v>
      </c>
      <c r="I47">
        <v>-7200</v>
      </c>
      <c r="J47" t="s">
        <v>906</v>
      </c>
    </row>
    <row r="48" spans="8:10" x14ac:dyDescent="0.3">
      <c r="H48" s="6" t="s">
        <v>909</v>
      </c>
      <c r="I48">
        <v>67800</v>
      </c>
      <c r="J48" t="s">
        <v>910</v>
      </c>
    </row>
    <row r="49" spans="8:10" x14ac:dyDescent="0.3">
      <c r="H49" s="6" t="s">
        <v>911</v>
      </c>
      <c r="I49">
        <f>1050+500</f>
        <v>1550</v>
      </c>
      <c r="J49" t="s">
        <v>912</v>
      </c>
    </row>
    <row r="50" spans="8:10" x14ac:dyDescent="0.3">
      <c r="H50" s="6" t="s">
        <v>911</v>
      </c>
      <c r="I50" s="76">
        <v>2300</v>
      </c>
      <c r="J50" t="s">
        <v>913</v>
      </c>
    </row>
    <row r="51" spans="8:10" x14ac:dyDescent="0.3">
      <c r="H51" s="6" t="s">
        <v>914</v>
      </c>
      <c r="I51" s="22">
        <v>40000</v>
      </c>
      <c r="J51" t="s">
        <v>815</v>
      </c>
    </row>
    <row r="52" spans="8:10" x14ac:dyDescent="0.3">
      <c r="H52" s="6" t="s">
        <v>914</v>
      </c>
      <c r="I52" s="22">
        <v>5000</v>
      </c>
      <c r="J52" t="s">
        <v>982</v>
      </c>
    </row>
    <row r="53" spans="8:10" x14ac:dyDescent="0.3">
      <c r="H53" s="6" t="s">
        <v>914</v>
      </c>
      <c r="I53">
        <v>60000</v>
      </c>
      <c r="J53" t="s">
        <v>915</v>
      </c>
    </row>
    <row r="54" spans="8:10" x14ac:dyDescent="0.3">
      <c r="H54" s="6" t="s">
        <v>916</v>
      </c>
      <c r="I54">
        <v>4270</v>
      </c>
      <c r="J54" t="s">
        <v>917</v>
      </c>
    </row>
    <row r="55" spans="8:10" x14ac:dyDescent="0.3">
      <c r="H55" s="6" t="s">
        <v>916</v>
      </c>
      <c r="I55">
        <v>20000</v>
      </c>
      <c r="J55" t="s">
        <v>918</v>
      </c>
    </row>
    <row r="56" spans="8:10" x14ac:dyDescent="0.3">
      <c r="H56" s="6" t="s">
        <v>920</v>
      </c>
      <c r="I56" s="22">
        <v>5000</v>
      </c>
      <c r="J56" t="s">
        <v>921</v>
      </c>
    </row>
    <row r="57" spans="8:10" x14ac:dyDescent="0.3">
      <c r="H57" s="6" t="s">
        <v>920</v>
      </c>
      <c r="I57">
        <v>1200</v>
      </c>
      <c r="J57" t="s">
        <v>922</v>
      </c>
    </row>
    <row r="58" spans="8:10" x14ac:dyDescent="0.3">
      <c r="H58" s="6" t="s">
        <v>974</v>
      </c>
      <c r="I58">
        <v>10000</v>
      </c>
      <c r="J58" t="s">
        <v>981</v>
      </c>
    </row>
    <row r="59" spans="8:10" x14ac:dyDescent="0.3">
      <c r="H59" s="6" t="s">
        <v>979</v>
      </c>
      <c r="I59">
        <f>2350+300</f>
        <v>2650</v>
      </c>
      <c r="J59" t="s">
        <v>983</v>
      </c>
    </row>
    <row r="60" spans="8:10" x14ac:dyDescent="0.3">
      <c r="H60" s="6" t="s">
        <v>959</v>
      </c>
      <c r="I60" s="79">
        <v>5000</v>
      </c>
      <c r="J60" t="s">
        <v>985</v>
      </c>
    </row>
    <row r="61" spans="8:10" x14ac:dyDescent="0.3">
      <c r="H61" s="6" t="s">
        <v>984</v>
      </c>
      <c r="I61" s="79">
        <v>5000</v>
      </c>
      <c r="J61" t="s">
        <v>985</v>
      </c>
    </row>
    <row r="62" spans="8:10" x14ac:dyDescent="0.3">
      <c r="H62" s="6" t="s">
        <v>984</v>
      </c>
      <c r="I62">
        <v>11200</v>
      </c>
      <c r="J62" t="s">
        <v>986</v>
      </c>
    </row>
    <row r="63" spans="8:10" x14ac:dyDescent="0.3">
      <c r="H63" s="6" t="s">
        <v>984</v>
      </c>
      <c r="I63">
        <v>9600</v>
      </c>
      <c r="J63" t="s">
        <v>987</v>
      </c>
    </row>
    <row r="64" spans="8:10" x14ac:dyDescent="0.3">
      <c r="H64" s="6" t="s">
        <v>999</v>
      </c>
      <c r="I64" s="79">
        <v>8000</v>
      </c>
      <c r="J64" t="s">
        <v>985</v>
      </c>
    </row>
    <row r="65" spans="8:10" x14ac:dyDescent="0.3">
      <c r="H65" s="6" t="s">
        <v>1002</v>
      </c>
      <c r="I65" s="79">
        <v>12000</v>
      </c>
      <c r="J65" t="s">
        <v>985</v>
      </c>
    </row>
    <row r="66" spans="8:10" x14ac:dyDescent="0.3">
      <c r="H66" s="6" t="s">
        <v>997</v>
      </c>
      <c r="I66" s="39">
        <v>3100</v>
      </c>
      <c r="J66" t="s">
        <v>1003</v>
      </c>
    </row>
    <row r="67" spans="8:10" x14ac:dyDescent="0.3">
      <c r="H67" s="6" t="s">
        <v>1004</v>
      </c>
      <c r="I67">
        <v>2100</v>
      </c>
      <c r="J67" t="s">
        <v>1005</v>
      </c>
    </row>
    <row r="68" spans="8:10" x14ac:dyDescent="0.3">
      <c r="H68" s="6" t="s">
        <v>1015</v>
      </c>
      <c r="I68">
        <f>2500+500</f>
        <v>3000</v>
      </c>
      <c r="J68" t="s">
        <v>1016</v>
      </c>
    </row>
    <row r="69" spans="8:10" x14ac:dyDescent="0.3">
      <c r="H69" s="6" t="s">
        <v>1017</v>
      </c>
      <c r="I69">
        <f>1000+600</f>
        <v>1600</v>
      </c>
      <c r="J69" t="s">
        <v>1025</v>
      </c>
    </row>
    <row r="70" spans="8:10" x14ac:dyDescent="0.3">
      <c r="H70" s="6" t="s">
        <v>1023</v>
      </c>
      <c r="I70" s="80">
        <v>4000</v>
      </c>
      <c r="J70" t="s">
        <v>1024</v>
      </c>
    </row>
    <row r="71" spans="8:10" x14ac:dyDescent="0.3">
      <c r="H71" s="6" t="s">
        <v>1022</v>
      </c>
      <c r="I71">
        <v>4080</v>
      </c>
      <c r="J71" t="s">
        <v>1026</v>
      </c>
    </row>
    <row r="72" spans="8:10" x14ac:dyDescent="0.3">
      <c r="H72" s="6" t="s">
        <v>1027</v>
      </c>
      <c r="I72">
        <v>400</v>
      </c>
      <c r="J72" t="s">
        <v>1028</v>
      </c>
    </row>
    <row r="73" spans="8:10" x14ac:dyDescent="0.3">
      <c r="H73" s="6" t="s">
        <v>1027</v>
      </c>
      <c r="I73" s="79">
        <v>3000</v>
      </c>
      <c r="J73" t="s">
        <v>985</v>
      </c>
    </row>
    <row r="74" spans="8:10" x14ac:dyDescent="0.3">
      <c r="H74" t="s">
        <v>1029</v>
      </c>
      <c r="I74" s="79">
        <v>10000</v>
      </c>
      <c r="J74" t="s">
        <v>985</v>
      </c>
    </row>
    <row r="75" spans="8:10" x14ac:dyDescent="0.3">
      <c r="H75" s="6" t="s">
        <v>1031</v>
      </c>
      <c r="I75">
        <v>1500</v>
      </c>
      <c r="J75" t="s">
        <v>1032</v>
      </c>
    </row>
    <row r="76" spans="8:10" x14ac:dyDescent="0.3">
      <c r="H76" s="6" t="s">
        <v>1031</v>
      </c>
      <c r="I76">
        <v>29200</v>
      </c>
      <c r="J76" t="s">
        <v>1033</v>
      </c>
    </row>
    <row r="77" spans="8:10" x14ac:dyDescent="0.3">
      <c r="H77" s="6" t="s">
        <v>1031</v>
      </c>
      <c r="I77">
        <v>5400</v>
      </c>
      <c r="J77" t="s">
        <v>1034</v>
      </c>
    </row>
    <row r="78" spans="8:10" x14ac:dyDescent="0.3">
      <c r="H78" s="6" t="s">
        <v>1031</v>
      </c>
      <c r="I78">
        <v>1610</v>
      </c>
      <c r="J78" t="s">
        <v>1035</v>
      </c>
    </row>
    <row r="79" spans="8:10" x14ac:dyDescent="0.3">
      <c r="H79" s="6" t="s">
        <v>1031</v>
      </c>
      <c r="I79">
        <v>100</v>
      </c>
      <c r="J79" t="s">
        <v>1036</v>
      </c>
    </row>
    <row r="80" spans="8:10" x14ac:dyDescent="0.3">
      <c r="H80" s="6" t="s">
        <v>1031</v>
      </c>
      <c r="I80" s="79">
        <v>3000</v>
      </c>
      <c r="J80" t="s">
        <v>985</v>
      </c>
    </row>
    <row r="81" spans="8:10" x14ac:dyDescent="0.3">
      <c r="H81" s="6" t="s">
        <v>1037</v>
      </c>
      <c r="I81">
        <v>1100</v>
      </c>
      <c r="J81" t="s">
        <v>1038</v>
      </c>
    </row>
    <row r="82" spans="8:10" x14ac:dyDescent="0.3">
      <c r="H82" s="6" t="s">
        <v>1037</v>
      </c>
      <c r="I82">
        <v>1005</v>
      </c>
      <c r="J82" t="s">
        <v>1039</v>
      </c>
    </row>
    <row r="83" spans="8:10" x14ac:dyDescent="0.3">
      <c r="H83" s="6" t="s">
        <v>1047</v>
      </c>
      <c r="I83">
        <v>4440</v>
      </c>
      <c r="J83" t="s">
        <v>1048</v>
      </c>
    </row>
    <row r="84" spans="8:10" x14ac:dyDescent="0.3">
      <c r="H84" s="6" t="s">
        <v>1047</v>
      </c>
      <c r="I84">
        <v>13950</v>
      </c>
      <c r="J84" t="s">
        <v>1048</v>
      </c>
    </row>
    <row r="85" spans="8:10" x14ac:dyDescent="0.3">
      <c r="H85" s="6" t="s">
        <v>1047</v>
      </c>
      <c r="I85">
        <v>700</v>
      </c>
      <c r="J85" t="s">
        <v>1049</v>
      </c>
    </row>
    <row r="86" spans="8:10" x14ac:dyDescent="0.3">
      <c r="H86" s="6" t="s">
        <v>1058</v>
      </c>
      <c r="I86" s="79">
        <v>2000</v>
      </c>
      <c r="J86" t="s">
        <v>985</v>
      </c>
    </row>
    <row r="87" spans="8:10" x14ac:dyDescent="0.3">
      <c r="H87" s="6" t="s">
        <v>1057</v>
      </c>
      <c r="I87" s="80">
        <v>12000</v>
      </c>
      <c r="J87" t="s">
        <v>1059</v>
      </c>
    </row>
    <row r="88" spans="8:10" x14ac:dyDescent="0.3">
      <c r="I88" s="27">
        <f>SUM(I3:I87)</f>
        <v>9871915</v>
      </c>
    </row>
  </sheetData>
  <mergeCells count="2">
    <mergeCell ref="B2:F2"/>
    <mergeCell ref="H2:J2"/>
  </mergeCells>
  <pageMargins left="0.7" right="0.7" top="0.75" bottom="0.75" header="0.3" footer="0.3"/>
  <pageSetup paperSize="11" orientation="landscape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3"/>
  <sheetViews>
    <sheetView workbookViewId="0">
      <selection activeCell="G15" sqref="G15"/>
    </sheetView>
  </sheetViews>
  <sheetFormatPr defaultRowHeight="14.4" x14ac:dyDescent="0.3"/>
  <cols>
    <col min="3" max="3" width="10.44140625" bestFit="1" customWidth="1"/>
    <col min="7" max="7" width="46.5546875" bestFit="1" customWidth="1"/>
  </cols>
  <sheetData>
    <row r="2" spans="1:14" x14ac:dyDescent="0.3">
      <c r="A2" s="6" t="s">
        <v>1457</v>
      </c>
      <c r="C2" t="s">
        <v>1461</v>
      </c>
      <c r="F2" t="s">
        <v>867</v>
      </c>
    </row>
    <row r="3" spans="1:14" x14ac:dyDescent="0.3">
      <c r="A3" t="s">
        <v>100</v>
      </c>
      <c r="B3">
        <v>10000</v>
      </c>
      <c r="F3" s="71" t="s">
        <v>844</v>
      </c>
      <c r="G3" s="71" t="s">
        <v>845</v>
      </c>
      <c r="H3" s="72" t="s">
        <v>699</v>
      </c>
      <c r="I3" s="72" t="s">
        <v>698</v>
      </c>
      <c r="J3" s="72" t="s">
        <v>83</v>
      </c>
      <c r="N3" t="s">
        <v>1152</v>
      </c>
    </row>
    <row r="4" spans="1:14" x14ac:dyDescent="0.3">
      <c r="A4" t="s">
        <v>18</v>
      </c>
      <c r="B4" s="85">
        <v>10000</v>
      </c>
      <c r="C4" s="6" t="s">
        <v>1462</v>
      </c>
      <c r="F4">
        <v>1</v>
      </c>
      <c r="G4" t="s">
        <v>851</v>
      </c>
      <c r="H4" s="70">
        <v>1</v>
      </c>
      <c r="I4" s="8">
        <v>85000</v>
      </c>
      <c r="J4" s="8">
        <f>H4*I4</f>
        <v>85000</v>
      </c>
      <c r="N4" t="s">
        <v>1151</v>
      </c>
    </row>
    <row r="5" spans="1:14" x14ac:dyDescent="0.3">
      <c r="A5" t="s">
        <v>1324</v>
      </c>
      <c r="B5">
        <v>10000</v>
      </c>
      <c r="G5" t="s">
        <v>852</v>
      </c>
      <c r="H5" s="70"/>
      <c r="I5" s="8"/>
      <c r="J5" s="8"/>
    </row>
    <row r="6" spans="1:14" x14ac:dyDescent="0.3">
      <c r="A6" t="s">
        <v>1458</v>
      </c>
      <c r="B6">
        <v>3000</v>
      </c>
      <c r="F6">
        <v>2</v>
      </c>
      <c r="G6" t="s">
        <v>846</v>
      </c>
      <c r="H6" s="70">
        <v>9</v>
      </c>
      <c r="I6" s="8">
        <v>9000</v>
      </c>
      <c r="J6" s="8">
        <f t="shared" ref="J6:J20" si="0">H6*I6</f>
        <v>81000</v>
      </c>
    </row>
    <row r="7" spans="1:14" x14ac:dyDescent="0.3">
      <c r="A7" t="s">
        <v>1459</v>
      </c>
      <c r="B7" s="85">
        <v>5000</v>
      </c>
      <c r="C7" s="6" t="s">
        <v>1457</v>
      </c>
      <c r="F7">
        <v>3</v>
      </c>
      <c r="G7" t="s">
        <v>847</v>
      </c>
      <c r="H7" s="70">
        <v>5</v>
      </c>
      <c r="I7" s="8">
        <v>7500</v>
      </c>
      <c r="J7" s="8">
        <f t="shared" si="0"/>
        <v>37500</v>
      </c>
    </row>
    <row r="8" spans="1:14" x14ac:dyDescent="0.3">
      <c r="A8" t="s">
        <v>92</v>
      </c>
      <c r="B8">
        <v>5000</v>
      </c>
      <c r="F8">
        <v>4</v>
      </c>
      <c r="G8" t="s">
        <v>849</v>
      </c>
      <c r="H8" s="70">
        <v>1</v>
      </c>
      <c r="I8" s="8">
        <v>30000</v>
      </c>
      <c r="J8" s="8">
        <f t="shared" si="0"/>
        <v>30000</v>
      </c>
    </row>
    <row r="9" spans="1:14" x14ac:dyDescent="0.3">
      <c r="A9" t="s">
        <v>11</v>
      </c>
      <c r="B9" s="85">
        <v>10000</v>
      </c>
      <c r="C9" s="6" t="s">
        <v>1463</v>
      </c>
      <c r="F9">
        <v>5</v>
      </c>
      <c r="G9" t="s">
        <v>850</v>
      </c>
      <c r="H9" s="70">
        <v>2</v>
      </c>
      <c r="I9" s="8">
        <v>15000</v>
      </c>
      <c r="J9" s="8">
        <f t="shared" si="0"/>
        <v>30000</v>
      </c>
    </row>
    <row r="10" spans="1:14" x14ac:dyDescent="0.3">
      <c r="F10">
        <v>6</v>
      </c>
      <c r="G10" t="s">
        <v>848</v>
      </c>
      <c r="H10" s="70">
        <v>9</v>
      </c>
      <c r="I10" s="8">
        <v>6500</v>
      </c>
      <c r="J10" s="8">
        <f t="shared" si="0"/>
        <v>58500</v>
      </c>
    </row>
    <row r="11" spans="1:14" x14ac:dyDescent="0.3">
      <c r="A11" t="s">
        <v>654</v>
      </c>
      <c r="B11" s="85">
        <v>20000</v>
      </c>
      <c r="C11" s="6" t="s">
        <v>1466</v>
      </c>
      <c r="F11">
        <v>7</v>
      </c>
      <c r="G11" t="s">
        <v>853</v>
      </c>
      <c r="H11" s="70">
        <v>3</v>
      </c>
      <c r="I11" s="8">
        <v>1000</v>
      </c>
      <c r="J11" s="8">
        <f t="shared" si="0"/>
        <v>3000</v>
      </c>
    </row>
    <row r="12" spans="1:14" x14ac:dyDescent="0.3">
      <c r="A12" t="s">
        <v>1460</v>
      </c>
      <c r="B12" s="85">
        <v>5000</v>
      </c>
      <c r="C12" s="6" t="s">
        <v>1466</v>
      </c>
      <c r="F12">
        <v>8</v>
      </c>
      <c r="G12" t="s">
        <v>854</v>
      </c>
      <c r="H12" s="70">
        <v>1</v>
      </c>
      <c r="I12" s="8">
        <v>8500</v>
      </c>
      <c r="J12" s="8">
        <f t="shared" si="0"/>
        <v>8500</v>
      </c>
    </row>
    <row r="13" spans="1:14" x14ac:dyDescent="0.3">
      <c r="B13">
        <f>SUM(B3:B12)</f>
        <v>78000</v>
      </c>
      <c r="F13">
        <v>9</v>
      </c>
      <c r="G13" t="s">
        <v>855</v>
      </c>
      <c r="H13" s="70">
        <v>1</v>
      </c>
      <c r="I13" s="8">
        <v>15000</v>
      </c>
      <c r="J13" s="8">
        <f t="shared" si="0"/>
        <v>15000</v>
      </c>
    </row>
    <row r="14" spans="1:14" x14ac:dyDescent="0.3">
      <c r="F14">
        <v>10</v>
      </c>
      <c r="G14" t="s">
        <v>856</v>
      </c>
      <c r="H14" s="70">
        <v>1</v>
      </c>
      <c r="I14" s="8">
        <v>15000</v>
      </c>
      <c r="J14" s="8">
        <f t="shared" si="0"/>
        <v>15000</v>
      </c>
    </row>
    <row r="15" spans="1:14" x14ac:dyDescent="0.3">
      <c r="A15" t="s">
        <v>1464</v>
      </c>
      <c r="F15">
        <v>11</v>
      </c>
      <c r="G15" t="s">
        <v>857</v>
      </c>
      <c r="H15" s="70">
        <v>10</v>
      </c>
      <c r="I15" s="8">
        <v>1400</v>
      </c>
      <c r="J15" s="8">
        <f t="shared" si="0"/>
        <v>14000</v>
      </c>
    </row>
    <row r="16" spans="1:14" x14ac:dyDescent="0.3">
      <c r="A16" t="s">
        <v>1465</v>
      </c>
      <c r="B16">
        <v>50000</v>
      </c>
      <c r="C16" s="6" t="s">
        <v>1466</v>
      </c>
      <c r="F16">
        <v>12</v>
      </c>
      <c r="G16" t="s">
        <v>858</v>
      </c>
      <c r="H16" s="70">
        <v>1</v>
      </c>
      <c r="I16" s="8">
        <v>8000</v>
      </c>
      <c r="J16" s="8">
        <f t="shared" si="0"/>
        <v>8000</v>
      </c>
    </row>
    <row r="17" spans="6:10" x14ac:dyDescent="0.3">
      <c r="F17">
        <v>13</v>
      </c>
      <c r="G17" t="s">
        <v>859</v>
      </c>
      <c r="H17" s="70">
        <v>1</v>
      </c>
      <c r="I17" s="8">
        <v>140000</v>
      </c>
      <c r="J17" s="8">
        <f t="shared" si="0"/>
        <v>140000</v>
      </c>
    </row>
    <row r="18" spans="6:10" x14ac:dyDescent="0.3">
      <c r="F18">
        <v>14</v>
      </c>
      <c r="G18" t="s">
        <v>860</v>
      </c>
      <c r="H18" s="70">
        <v>6</v>
      </c>
      <c r="I18" s="8">
        <v>18000</v>
      </c>
      <c r="J18" s="8">
        <f t="shared" si="0"/>
        <v>108000</v>
      </c>
    </row>
    <row r="19" spans="6:10" x14ac:dyDescent="0.3">
      <c r="F19">
        <v>15</v>
      </c>
      <c r="G19" t="s">
        <v>861</v>
      </c>
      <c r="H19" s="70">
        <v>1</v>
      </c>
      <c r="I19" s="8">
        <v>48000</v>
      </c>
      <c r="J19" s="8">
        <f t="shared" si="0"/>
        <v>48000</v>
      </c>
    </row>
    <row r="20" spans="6:10" x14ac:dyDescent="0.3">
      <c r="F20">
        <v>16</v>
      </c>
      <c r="G20" t="s">
        <v>862</v>
      </c>
      <c r="H20" s="70">
        <v>1</v>
      </c>
      <c r="I20" s="8">
        <v>65000</v>
      </c>
      <c r="J20" s="8">
        <f t="shared" si="0"/>
        <v>65000</v>
      </c>
    </row>
    <row r="21" spans="6:10" x14ac:dyDescent="0.3">
      <c r="F21" s="73"/>
      <c r="G21" s="75" t="s">
        <v>83</v>
      </c>
      <c r="H21" s="73"/>
      <c r="I21" s="73"/>
      <c r="J21" s="74">
        <f>SUM(J4:J20)</f>
        <v>746500</v>
      </c>
    </row>
    <row r="24" spans="6:10" x14ac:dyDescent="0.3">
      <c r="F24" t="s">
        <v>874</v>
      </c>
    </row>
    <row r="25" spans="6:10" x14ac:dyDescent="0.3">
      <c r="F25" s="71" t="s">
        <v>844</v>
      </c>
      <c r="G25" s="71" t="s">
        <v>845</v>
      </c>
      <c r="H25" s="72" t="s">
        <v>699</v>
      </c>
      <c r="I25" s="72" t="s">
        <v>698</v>
      </c>
      <c r="J25" s="72" t="s">
        <v>83</v>
      </c>
    </row>
    <row r="26" spans="6:10" x14ac:dyDescent="0.3">
      <c r="F26">
        <v>1</v>
      </c>
      <c r="G26" t="s">
        <v>870</v>
      </c>
      <c r="H26" s="70">
        <v>7</v>
      </c>
      <c r="I26" s="8">
        <v>9000</v>
      </c>
      <c r="J26" s="8">
        <f t="shared" ref="J26:J35" si="1">H26*I26</f>
        <v>63000</v>
      </c>
    </row>
    <row r="27" spans="6:10" x14ac:dyDescent="0.3">
      <c r="G27" t="s">
        <v>871</v>
      </c>
      <c r="H27" s="70"/>
      <c r="I27" s="8"/>
      <c r="J27" s="8"/>
    </row>
    <row r="28" spans="6:10" x14ac:dyDescent="0.3">
      <c r="F28">
        <v>2</v>
      </c>
      <c r="G28" t="s">
        <v>847</v>
      </c>
      <c r="H28" s="70">
        <v>4</v>
      </c>
      <c r="I28" s="8">
        <v>7500</v>
      </c>
      <c r="J28" s="8">
        <f t="shared" si="1"/>
        <v>30000</v>
      </c>
    </row>
    <row r="29" spans="6:10" x14ac:dyDescent="0.3">
      <c r="F29">
        <v>3</v>
      </c>
      <c r="G29" t="s">
        <v>849</v>
      </c>
      <c r="H29" s="70">
        <v>1</v>
      </c>
      <c r="I29" s="8">
        <v>27000</v>
      </c>
      <c r="J29" s="8">
        <f t="shared" si="1"/>
        <v>27000</v>
      </c>
    </row>
    <row r="30" spans="6:10" x14ac:dyDescent="0.3">
      <c r="F30">
        <v>4</v>
      </c>
      <c r="G30" t="s">
        <v>868</v>
      </c>
      <c r="H30" s="70">
        <v>2</v>
      </c>
      <c r="I30" s="8">
        <v>4500</v>
      </c>
      <c r="J30" s="8">
        <f t="shared" si="1"/>
        <v>9000</v>
      </c>
    </row>
    <row r="31" spans="6:10" x14ac:dyDescent="0.3">
      <c r="F31">
        <v>5</v>
      </c>
      <c r="G31" t="s">
        <v>853</v>
      </c>
      <c r="H31" s="70">
        <v>3</v>
      </c>
      <c r="I31" s="8">
        <v>1000</v>
      </c>
      <c r="J31" s="8">
        <f t="shared" si="1"/>
        <v>3000</v>
      </c>
    </row>
    <row r="32" spans="6:10" x14ac:dyDescent="0.3">
      <c r="F32">
        <v>6</v>
      </c>
      <c r="G32" t="s">
        <v>872</v>
      </c>
      <c r="H32" s="70">
        <v>1</v>
      </c>
      <c r="I32" s="8">
        <v>6500</v>
      </c>
      <c r="J32" s="8">
        <f t="shared" si="1"/>
        <v>6500</v>
      </c>
    </row>
    <row r="33" spans="6:10" x14ac:dyDescent="0.3">
      <c r="F33">
        <v>7</v>
      </c>
      <c r="G33" t="s">
        <v>873</v>
      </c>
      <c r="H33" s="70">
        <v>1</v>
      </c>
      <c r="I33" s="8">
        <v>15000</v>
      </c>
      <c r="J33" s="8">
        <f t="shared" si="1"/>
        <v>15000</v>
      </c>
    </row>
    <row r="34" spans="6:10" x14ac:dyDescent="0.3">
      <c r="F34">
        <v>8</v>
      </c>
      <c r="G34" t="s">
        <v>856</v>
      </c>
      <c r="H34" s="70">
        <v>1</v>
      </c>
      <c r="I34" s="8">
        <v>12000</v>
      </c>
      <c r="J34" s="8">
        <f t="shared" si="1"/>
        <v>12000</v>
      </c>
    </row>
    <row r="35" spans="6:10" x14ac:dyDescent="0.3">
      <c r="F35">
        <v>9</v>
      </c>
      <c r="G35" t="s">
        <v>857</v>
      </c>
      <c r="H35" s="70">
        <v>10</v>
      </c>
      <c r="I35" s="8">
        <v>1400</v>
      </c>
      <c r="J35" s="8">
        <f t="shared" si="1"/>
        <v>14000</v>
      </c>
    </row>
    <row r="36" spans="6:10" x14ac:dyDescent="0.3">
      <c r="F36" s="73"/>
      <c r="G36" s="75" t="s">
        <v>83</v>
      </c>
      <c r="H36" s="73"/>
      <c r="I36" s="73"/>
      <c r="J36" s="74">
        <f>SUM(J26:J35)</f>
        <v>179500</v>
      </c>
    </row>
    <row r="45" spans="6:10" x14ac:dyDescent="0.3">
      <c r="F45" t="s">
        <v>875</v>
      </c>
    </row>
    <row r="46" spans="6:10" x14ac:dyDescent="0.3">
      <c r="F46" s="71" t="s">
        <v>844</v>
      </c>
      <c r="G46" s="71" t="s">
        <v>845</v>
      </c>
      <c r="H46" s="72" t="s">
        <v>699</v>
      </c>
      <c r="I46" s="72" t="s">
        <v>698</v>
      </c>
      <c r="J46" s="72" t="s">
        <v>83</v>
      </c>
    </row>
    <row r="47" spans="6:10" x14ac:dyDescent="0.3">
      <c r="F47">
        <v>1</v>
      </c>
      <c r="G47" t="s">
        <v>851</v>
      </c>
      <c r="H47" s="70">
        <v>1</v>
      </c>
      <c r="I47" s="8">
        <v>85000</v>
      </c>
      <c r="J47" s="8">
        <f>H47*I47</f>
        <v>85000</v>
      </c>
    </row>
    <row r="48" spans="6:10" x14ac:dyDescent="0.3">
      <c r="G48" t="s">
        <v>869</v>
      </c>
      <c r="H48" s="8"/>
      <c r="I48" s="8"/>
    </row>
    <row r="49" spans="6:10" x14ac:dyDescent="0.3">
      <c r="F49">
        <v>3</v>
      </c>
      <c r="G49" t="s">
        <v>858</v>
      </c>
      <c r="H49" s="70">
        <v>1</v>
      </c>
      <c r="I49" s="8">
        <v>8000</v>
      </c>
      <c r="J49" s="8">
        <f>H49*I49</f>
        <v>8000</v>
      </c>
    </row>
    <row r="50" spans="6:10" x14ac:dyDescent="0.3">
      <c r="F50">
        <v>4</v>
      </c>
      <c r="G50" t="s">
        <v>859</v>
      </c>
      <c r="H50" s="70">
        <v>1</v>
      </c>
      <c r="I50" s="8">
        <v>140000</v>
      </c>
      <c r="J50" s="8">
        <f>H50*I50</f>
        <v>140000</v>
      </c>
    </row>
    <row r="51" spans="6:10" x14ac:dyDescent="0.3">
      <c r="F51">
        <v>5</v>
      </c>
      <c r="G51" t="s">
        <v>860</v>
      </c>
      <c r="H51" s="70">
        <v>6</v>
      </c>
      <c r="I51" s="8">
        <v>16000</v>
      </c>
      <c r="J51" s="8">
        <f>H51*I51</f>
        <v>96000</v>
      </c>
    </row>
    <row r="52" spans="6:10" x14ac:dyDescent="0.3">
      <c r="F52">
        <v>6</v>
      </c>
      <c r="G52" t="s">
        <v>861</v>
      </c>
      <c r="H52" s="70">
        <v>1</v>
      </c>
      <c r="I52" s="8">
        <v>48000</v>
      </c>
      <c r="J52" s="8">
        <f>H52*I52</f>
        <v>48000</v>
      </c>
    </row>
    <row r="53" spans="6:10" x14ac:dyDescent="0.3">
      <c r="F53" s="73"/>
      <c r="G53" s="75" t="s">
        <v>83</v>
      </c>
      <c r="H53" s="73"/>
      <c r="I53" s="73"/>
      <c r="J53" s="74">
        <f>SUM(J47:J52)</f>
        <v>377000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7"/>
  <sheetViews>
    <sheetView tabSelected="1" topLeftCell="A20" workbookViewId="0">
      <selection activeCell="G46" sqref="G46"/>
    </sheetView>
  </sheetViews>
  <sheetFormatPr defaultRowHeight="14.4" x14ac:dyDescent="0.3"/>
  <cols>
    <col min="1" max="1" width="10.88671875" bestFit="1" customWidth="1"/>
    <col min="2" max="2" width="15.33203125" bestFit="1" customWidth="1"/>
    <col min="3" max="3" width="34.33203125" bestFit="1" customWidth="1"/>
    <col min="4" max="4" width="11.109375" bestFit="1" customWidth="1"/>
    <col min="5" max="5" width="13.109375" customWidth="1"/>
    <col min="6" max="6" width="13.44140625" customWidth="1"/>
    <col min="7" max="7" width="10.44140625" bestFit="1" customWidth="1"/>
    <col min="8" max="8" width="12.109375" bestFit="1" customWidth="1"/>
    <col min="9" max="9" width="11.109375" bestFit="1" customWidth="1"/>
    <col min="10" max="10" width="7" bestFit="1" customWidth="1"/>
    <col min="12" max="12" width="7.6640625" bestFit="1" customWidth="1"/>
    <col min="14" max="14" width="7.44140625" bestFit="1" customWidth="1"/>
    <col min="16" max="16" width="7.33203125" bestFit="1" customWidth="1"/>
    <col min="18" max="18" width="14.44140625" bestFit="1" customWidth="1"/>
    <col min="20" max="20" width="8" bestFit="1" customWidth="1"/>
    <col min="22" max="22" width="7.44140625" bestFit="1" customWidth="1"/>
  </cols>
  <sheetData>
    <row r="2" spans="2:10" x14ac:dyDescent="0.3">
      <c r="C2" t="s">
        <v>1307</v>
      </c>
    </row>
    <row r="3" spans="2:10" x14ac:dyDescent="0.3">
      <c r="C3" t="s">
        <v>1478</v>
      </c>
      <c r="D3" t="s">
        <v>1482</v>
      </c>
      <c r="E3" t="s">
        <v>1479</v>
      </c>
      <c r="F3" t="s">
        <v>1480</v>
      </c>
      <c r="G3" t="s">
        <v>1481</v>
      </c>
      <c r="H3" t="s">
        <v>4</v>
      </c>
      <c r="I3" t="s">
        <v>1549</v>
      </c>
    </row>
    <row r="4" spans="2:10" x14ac:dyDescent="0.3">
      <c r="B4">
        <v>1</v>
      </c>
      <c r="C4" t="s">
        <v>84</v>
      </c>
      <c r="D4">
        <v>1</v>
      </c>
      <c r="E4" s="6" t="s">
        <v>2576</v>
      </c>
      <c r="F4" s="6" t="s">
        <v>2575</v>
      </c>
      <c r="G4" s="6"/>
      <c r="H4" s="8">
        <v>16800</v>
      </c>
      <c r="I4" s="8">
        <v>1400</v>
      </c>
    </row>
    <row r="5" spans="2:10" x14ac:dyDescent="0.3">
      <c r="B5">
        <v>2</v>
      </c>
      <c r="C5" t="s">
        <v>243</v>
      </c>
      <c r="D5">
        <v>1</v>
      </c>
      <c r="E5" s="6" t="s">
        <v>2576</v>
      </c>
      <c r="F5" s="6" t="s">
        <v>2575</v>
      </c>
      <c r="H5" s="8">
        <v>14400</v>
      </c>
      <c r="I5" s="8">
        <v>1200</v>
      </c>
    </row>
    <row r="6" spans="2:10" x14ac:dyDescent="0.3">
      <c r="B6">
        <v>3</v>
      </c>
      <c r="C6" t="s">
        <v>320</v>
      </c>
      <c r="D6">
        <v>1</v>
      </c>
      <c r="E6" s="6" t="s">
        <v>2576</v>
      </c>
      <c r="F6" s="6" t="s">
        <v>2575</v>
      </c>
      <c r="H6" s="8">
        <v>12000</v>
      </c>
      <c r="I6" s="8">
        <v>1000</v>
      </c>
    </row>
    <row r="7" spans="2:10" x14ac:dyDescent="0.3">
      <c r="B7">
        <v>4</v>
      </c>
      <c r="C7" t="s">
        <v>1345</v>
      </c>
      <c r="D7">
        <v>1</v>
      </c>
      <c r="E7" s="6" t="s">
        <v>2576</v>
      </c>
      <c r="F7" s="6" t="s">
        <v>2575</v>
      </c>
      <c r="H7" s="8">
        <v>16800</v>
      </c>
      <c r="I7" s="8">
        <v>1400</v>
      </c>
    </row>
    <row r="8" spans="2:10" x14ac:dyDescent="0.3">
      <c r="B8">
        <v>5</v>
      </c>
      <c r="C8" t="s">
        <v>344</v>
      </c>
      <c r="D8">
        <v>1</v>
      </c>
      <c r="E8" s="6" t="s">
        <v>2576</v>
      </c>
      <c r="F8" s="6" t="s">
        <v>2575</v>
      </c>
      <c r="H8" s="8">
        <v>14400</v>
      </c>
      <c r="I8" s="8">
        <v>1200</v>
      </c>
    </row>
    <row r="9" spans="2:10" x14ac:dyDescent="0.3">
      <c r="B9">
        <v>6</v>
      </c>
      <c r="C9" t="s">
        <v>1181</v>
      </c>
      <c r="D9">
        <v>2</v>
      </c>
      <c r="E9" s="6" t="s">
        <v>2576</v>
      </c>
      <c r="F9" s="6" t="s">
        <v>2575</v>
      </c>
      <c r="H9" s="8">
        <v>28800</v>
      </c>
      <c r="I9" s="8">
        <v>2400</v>
      </c>
    </row>
    <row r="10" spans="2:10" x14ac:dyDescent="0.3">
      <c r="B10">
        <v>7</v>
      </c>
      <c r="C10" s="4" t="s">
        <v>1360</v>
      </c>
      <c r="D10">
        <v>1</v>
      </c>
      <c r="E10" s="6" t="s">
        <v>2411</v>
      </c>
      <c r="F10" s="6" t="s">
        <v>2412</v>
      </c>
      <c r="H10" s="8">
        <v>14400</v>
      </c>
      <c r="I10" s="8">
        <v>1200</v>
      </c>
    </row>
    <row r="11" spans="2:10" x14ac:dyDescent="0.3">
      <c r="B11">
        <v>8</v>
      </c>
      <c r="C11" t="s">
        <v>442</v>
      </c>
      <c r="D11">
        <v>1</v>
      </c>
      <c r="E11" s="6" t="s">
        <v>2576</v>
      </c>
      <c r="F11" s="6" t="s">
        <v>2575</v>
      </c>
      <c r="H11" s="8">
        <v>14400</v>
      </c>
      <c r="I11" s="8">
        <v>1200</v>
      </c>
    </row>
    <row r="12" spans="2:10" x14ac:dyDescent="0.3">
      <c r="B12">
        <v>9</v>
      </c>
      <c r="C12" t="s">
        <v>1410</v>
      </c>
      <c r="D12">
        <v>2</v>
      </c>
      <c r="E12" s="6" t="s">
        <v>2576</v>
      </c>
      <c r="F12" s="6" t="s">
        <v>2575</v>
      </c>
      <c r="H12" s="8">
        <f>1280*12*2</f>
        <v>30720</v>
      </c>
      <c r="I12" s="8">
        <f>1280*2</f>
        <v>2560</v>
      </c>
    </row>
    <row r="13" spans="2:10" x14ac:dyDescent="0.3">
      <c r="B13">
        <v>10</v>
      </c>
      <c r="C13" t="s">
        <v>1376</v>
      </c>
      <c r="D13">
        <v>1</v>
      </c>
      <c r="E13" s="6" t="s">
        <v>2576</v>
      </c>
      <c r="F13" s="6" t="s">
        <v>2575</v>
      </c>
      <c r="H13" s="8">
        <f>1280*12</f>
        <v>15360</v>
      </c>
      <c r="I13" s="8">
        <v>1280</v>
      </c>
    </row>
    <row r="14" spans="2:10" x14ac:dyDescent="0.3">
      <c r="B14">
        <v>11</v>
      </c>
      <c r="C14" s="4" t="s">
        <v>1315</v>
      </c>
      <c r="D14">
        <v>1</v>
      </c>
      <c r="E14" s="6" t="s">
        <v>2576</v>
      </c>
      <c r="F14" s="6" t="s">
        <v>2575</v>
      </c>
      <c r="G14" s="6"/>
      <c r="H14" s="8">
        <v>14400</v>
      </c>
      <c r="I14" s="8">
        <v>1200</v>
      </c>
    </row>
    <row r="15" spans="2:10" x14ac:dyDescent="0.3">
      <c r="B15">
        <v>12</v>
      </c>
      <c r="C15" t="s">
        <v>1283</v>
      </c>
      <c r="D15">
        <v>1</v>
      </c>
      <c r="E15" s="6" t="s">
        <v>2411</v>
      </c>
      <c r="F15" s="6" t="s">
        <v>2412</v>
      </c>
      <c r="H15" s="8">
        <v>14400</v>
      </c>
      <c r="I15" s="8">
        <v>1200</v>
      </c>
      <c r="J15" s="117"/>
    </row>
    <row r="16" spans="2:10" x14ac:dyDescent="0.3">
      <c r="B16">
        <v>13</v>
      </c>
      <c r="C16" t="s">
        <v>1211</v>
      </c>
      <c r="D16">
        <v>1</v>
      </c>
      <c r="E16" s="6" t="s">
        <v>2884</v>
      </c>
      <c r="F16" s="6" t="s">
        <v>2885</v>
      </c>
      <c r="H16" s="8">
        <v>14400</v>
      </c>
      <c r="I16" s="8">
        <v>1200</v>
      </c>
    </row>
    <row r="17" spans="2:10" x14ac:dyDescent="0.3">
      <c r="B17">
        <v>14</v>
      </c>
      <c r="C17" t="s">
        <v>1485</v>
      </c>
      <c r="D17">
        <v>1</v>
      </c>
      <c r="E17" s="6" t="s">
        <v>2576</v>
      </c>
      <c r="F17" s="6" t="s">
        <v>2575</v>
      </c>
      <c r="G17" s="6"/>
      <c r="H17" s="8">
        <f>1200*2*5</f>
        <v>12000</v>
      </c>
      <c r="I17" s="8">
        <v>2400</v>
      </c>
    </row>
    <row r="18" spans="2:10" x14ac:dyDescent="0.3">
      <c r="B18">
        <v>15</v>
      </c>
      <c r="C18" s="39" t="s">
        <v>1094</v>
      </c>
      <c r="D18">
        <v>1</v>
      </c>
      <c r="E18" s="6" t="s">
        <v>2212</v>
      </c>
      <c r="F18" s="41" t="s">
        <v>2752</v>
      </c>
      <c r="H18" s="8">
        <f>1350*12</f>
        <v>16200</v>
      </c>
      <c r="I18" s="8">
        <v>1350</v>
      </c>
      <c r="J18" s="86"/>
    </row>
    <row r="19" spans="2:10" x14ac:dyDescent="0.3">
      <c r="B19">
        <v>16</v>
      </c>
      <c r="C19" s="4" t="s">
        <v>366</v>
      </c>
      <c r="D19">
        <v>10</v>
      </c>
      <c r="E19" s="6" t="s">
        <v>2576</v>
      </c>
      <c r="F19" s="6" t="s">
        <v>2828</v>
      </c>
      <c r="G19" s="6"/>
      <c r="H19" s="8">
        <f>1200*10*12</f>
        <v>144000</v>
      </c>
      <c r="I19" s="8">
        <f>1200*10</f>
        <v>12000</v>
      </c>
    </row>
    <row r="20" spans="2:10" x14ac:dyDescent="0.3">
      <c r="B20">
        <v>17</v>
      </c>
      <c r="C20" s="4" t="s">
        <v>2266</v>
      </c>
      <c r="D20">
        <v>1</v>
      </c>
      <c r="E20" s="6" t="s">
        <v>2820</v>
      </c>
      <c r="F20" s="6" t="s">
        <v>2821</v>
      </c>
      <c r="G20" s="6"/>
      <c r="H20" s="8">
        <v>14400</v>
      </c>
      <c r="I20" s="8">
        <v>1200</v>
      </c>
    </row>
    <row r="21" spans="2:10" x14ac:dyDescent="0.3">
      <c r="B21">
        <v>18</v>
      </c>
      <c r="C21" t="s">
        <v>1636</v>
      </c>
      <c r="D21">
        <v>1</v>
      </c>
      <c r="E21" s="6" t="s">
        <v>2850</v>
      </c>
      <c r="F21" s="6" t="s">
        <v>2851</v>
      </c>
      <c r="H21" s="8">
        <f>1550*12</f>
        <v>18600</v>
      </c>
      <c r="I21" s="8">
        <v>1550</v>
      </c>
    </row>
    <row r="22" spans="2:10" x14ac:dyDescent="0.3">
      <c r="B22">
        <v>19</v>
      </c>
      <c r="C22" t="s">
        <v>360</v>
      </c>
      <c r="D22">
        <v>1</v>
      </c>
      <c r="E22" s="6" t="s">
        <v>2850</v>
      </c>
      <c r="F22" s="6" t="s">
        <v>2851</v>
      </c>
      <c r="H22" s="8">
        <f>1550*12</f>
        <v>18600</v>
      </c>
      <c r="I22" s="8">
        <v>1550</v>
      </c>
    </row>
    <row r="23" spans="2:10" x14ac:dyDescent="0.3">
      <c r="B23">
        <v>20</v>
      </c>
      <c r="C23" t="s">
        <v>1705</v>
      </c>
      <c r="D23">
        <v>1</v>
      </c>
      <c r="E23" s="6" t="s">
        <v>2882</v>
      </c>
      <c r="F23" s="6" t="s">
        <v>2886</v>
      </c>
      <c r="H23" s="8">
        <f>1350*6</f>
        <v>8100</v>
      </c>
      <c r="I23" s="8">
        <v>1350</v>
      </c>
    </row>
    <row r="24" spans="2:10" x14ac:dyDescent="0.3">
      <c r="B24">
        <v>21</v>
      </c>
      <c r="C24" t="s">
        <v>1799</v>
      </c>
      <c r="D24">
        <v>1</v>
      </c>
      <c r="E24" s="6" t="s">
        <v>1797</v>
      </c>
      <c r="F24" s="6" t="s">
        <v>2391</v>
      </c>
      <c r="H24" s="8">
        <f>1400*12</f>
        <v>16800</v>
      </c>
      <c r="I24" s="8">
        <v>1400</v>
      </c>
      <c r="J24" s="117"/>
    </row>
    <row r="25" spans="2:10" x14ac:dyDescent="0.3">
      <c r="B25">
        <v>22</v>
      </c>
      <c r="C25" t="s">
        <v>1844</v>
      </c>
      <c r="D25">
        <v>10</v>
      </c>
      <c r="E25" s="6" t="s">
        <v>2399</v>
      </c>
      <c r="F25" s="6" t="s">
        <v>2735</v>
      </c>
      <c r="H25" s="8">
        <f>1260*10*6</f>
        <v>75600</v>
      </c>
      <c r="I25" s="8">
        <f>1260*10</f>
        <v>12600</v>
      </c>
      <c r="J25" s="117"/>
    </row>
    <row r="26" spans="2:10" x14ac:dyDescent="0.3">
      <c r="B26">
        <v>23</v>
      </c>
      <c r="C26" t="s">
        <v>263</v>
      </c>
      <c r="D26">
        <v>2</v>
      </c>
      <c r="E26" s="6" t="s">
        <v>1875</v>
      </c>
      <c r="F26" s="6" t="s">
        <v>2495</v>
      </c>
      <c r="H26" s="8">
        <f>16800*2</f>
        <v>33600</v>
      </c>
      <c r="I26" s="8">
        <f>1400*2</f>
        <v>2800</v>
      </c>
      <c r="J26" s="117"/>
    </row>
    <row r="27" spans="2:10" x14ac:dyDescent="0.3">
      <c r="B27">
        <v>24</v>
      </c>
      <c r="C27" t="s">
        <v>1909</v>
      </c>
      <c r="D27">
        <v>1</v>
      </c>
      <c r="E27" s="6" t="s">
        <v>2627</v>
      </c>
      <c r="F27" s="6" t="s">
        <v>2628</v>
      </c>
      <c r="H27" s="8">
        <v>14400</v>
      </c>
      <c r="I27" s="8">
        <v>1200</v>
      </c>
      <c r="J27" s="117"/>
    </row>
    <row r="28" spans="2:10" x14ac:dyDescent="0.3">
      <c r="B28">
        <v>25</v>
      </c>
      <c r="C28" t="s">
        <v>2140</v>
      </c>
      <c r="D28">
        <v>1</v>
      </c>
      <c r="E28" s="6" t="s">
        <v>2529</v>
      </c>
      <c r="F28" s="6" t="s">
        <v>2533</v>
      </c>
      <c r="H28" s="8">
        <v>14400</v>
      </c>
      <c r="I28" s="8">
        <v>1200</v>
      </c>
    </row>
    <row r="29" spans="2:10" x14ac:dyDescent="0.3">
      <c r="B29">
        <v>26</v>
      </c>
      <c r="C29" t="s">
        <v>2141</v>
      </c>
      <c r="D29">
        <v>1</v>
      </c>
      <c r="E29" s="6" t="s">
        <v>2529</v>
      </c>
      <c r="F29" s="6" t="s">
        <v>2533</v>
      </c>
      <c r="H29" s="8">
        <v>14400</v>
      </c>
      <c r="I29" s="8">
        <v>1200</v>
      </c>
    </row>
    <row r="30" spans="2:10" x14ac:dyDescent="0.3">
      <c r="B30">
        <v>27</v>
      </c>
      <c r="C30" t="s">
        <v>1628</v>
      </c>
      <c r="D30">
        <v>1</v>
      </c>
      <c r="E30" s="6" t="s">
        <v>2790</v>
      </c>
      <c r="F30" s="6" t="s">
        <v>2791</v>
      </c>
      <c r="H30" s="8">
        <f>1400*12</f>
        <v>16800</v>
      </c>
      <c r="I30" s="8">
        <v>1400</v>
      </c>
    </row>
    <row r="31" spans="2:10" x14ac:dyDescent="0.3">
      <c r="B31">
        <v>28</v>
      </c>
      <c r="C31" t="s">
        <v>2279</v>
      </c>
      <c r="D31">
        <v>1</v>
      </c>
      <c r="E31" s="6" t="s">
        <v>2820</v>
      </c>
      <c r="F31" s="11" t="s">
        <v>2821</v>
      </c>
      <c r="H31" s="8">
        <v>16800</v>
      </c>
      <c r="I31" s="8">
        <v>1400</v>
      </c>
    </row>
    <row r="32" spans="2:10" x14ac:dyDescent="0.3">
      <c r="B32">
        <v>29</v>
      </c>
      <c r="C32" t="s">
        <v>2268</v>
      </c>
      <c r="D32">
        <v>3</v>
      </c>
      <c r="E32" s="6" t="s">
        <v>2820</v>
      </c>
      <c r="F32" s="6" t="s">
        <v>2821</v>
      </c>
      <c r="H32" s="8">
        <f>1350*12*3</f>
        <v>48600</v>
      </c>
      <c r="I32" s="8">
        <f>1350*3</f>
        <v>4050</v>
      </c>
    </row>
    <row r="33" spans="2:10" x14ac:dyDescent="0.3">
      <c r="B33">
        <v>30</v>
      </c>
      <c r="C33" t="s">
        <v>2277</v>
      </c>
      <c r="D33">
        <v>1</v>
      </c>
      <c r="E33" s="6" t="s">
        <v>2399</v>
      </c>
      <c r="F33" s="6" t="s">
        <v>2739</v>
      </c>
      <c r="H33" s="8">
        <v>16800</v>
      </c>
      <c r="I33" s="8">
        <v>1400</v>
      </c>
      <c r="J33" s="6"/>
    </row>
    <row r="34" spans="2:10" x14ac:dyDescent="0.3">
      <c r="B34">
        <v>31</v>
      </c>
      <c r="C34" t="s">
        <v>2400</v>
      </c>
      <c r="D34">
        <v>1</v>
      </c>
      <c r="E34" s="6" t="s">
        <v>2882</v>
      </c>
      <c r="F34" s="6" t="s">
        <v>2883</v>
      </c>
      <c r="H34" s="8">
        <v>14400</v>
      </c>
      <c r="I34" s="8">
        <v>1200</v>
      </c>
    </row>
    <row r="35" spans="2:10" x14ac:dyDescent="0.3">
      <c r="B35">
        <v>32</v>
      </c>
      <c r="C35" t="s">
        <v>191</v>
      </c>
      <c r="D35">
        <v>1</v>
      </c>
      <c r="E35" s="6" t="s">
        <v>2882</v>
      </c>
      <c r="F35" s="6" t="s">
        <v>2575</v>
      </c>
      <c r="H35" s="8">
        <v>6000</v>
      </c>
      <c r="I35" s="8">
        <v>1000</v>
      </c>
    </row>
    <row r="36" spans="2:10" x14ac:dyDescent="0.3">
      <c r="B36">
        <v>33</v>
      </c>
      <c r="C36" t="s">
        <v>1903</v>
      </c>
      <c r="D36">
        <v>1</v>
      </c>
      <c r="E36" s="6" t="s">
        <v>2529</v>
      </c>
      <c r="F36" s="6" t="s">
        <v>2533</v>
      </c>
      <c r="H36" s="8">
        <f>1280*12</f>
        <v>15360</v>
      </c>
      <c r="I36" s="8">
        <v>1280</v>
      </c>
    </row>
    <row r="37" spans="2:10" x14ac:dyDescent="0.3">
      <c r="B37">
        <v>34</v>
      </c>
      <c r="C37" t="s">
        <v>2397</v>
      </c>
      <c r="D37">
        <v>2</v>
      </c>
      <c r="E37" s="6" t="s">
        <v>2233</v>
      </c>
      <c r="F37" s="6" t="s">
        <v>2398</v>
      </c>
      <c r="H37" s="8">
        <f>2400*12</f>
        <v>28800</v>
      </c>
      <c r="I37" s="8">
        <f>1200*2</f>
        <v>2400</v>
      </c>
    </row>
    <row r="38" spans="2:10" x14ac:dyDescent="0.3">
      <c r="B38">
        <v>35</v>
      </c>
      <c r="C38" t="s">
        <v>2774</v>
      </c>
      <c r="D38">
        <v>1</v>
      </c>
      <c r="E38" s="6" t="s">
        <v>2758</v>
      </c>
      <c r="F38" s="6" t="s">
        <v>2752</v>
      </c>
      <c r="H38" s="8">
        <f>1350*12</f>
        <v>16200</v>
      </c>
      <c r="I38" s="8">
        <v>1350</v>
      </c>
    </row>
    <row r="39" spans="2:10" x14ac:dyDescent="0.3">
      <c r="B39">
        <v>36</v>
      </c>
      <c r="C39" t="s">
        <v>2436</v>
      </c>
      <c r="D39">
        <v>2</v>
      </c>
      <c r="E39" s="6" t="s">
        <v>2384</v>
      </c>
      <c r="F39" s="6" t="s">
        <v>2438</v>
      </c>
      <c r="H39" s="8">
        <f>15000+30000</f>
        <v>45000</v>
      </c>
      <c r="I39" s="8">
        <f>1250+1250</f>
        <v>2500</v>
      </c>
      <c r="J39" s="6" t="s">
        <v>2439</v>
      </c>
    </row>
    <row r="40" spans="2:10" x14ac:dyDescent="0.3">
      <c r="B40">
        <v>37</v>
      </c>
      <c r="C40" t="s">
        <v>2437</v>
      </c>
      <c r="D40">
        <v>1</v>
      </c>
      <c r="E40" s="6" t="s">
        <v>2576</v>
      </c>
      <c r="F40" s="6" t="s">
        <v>2575</v>
      </c>
      <c r="H40" s="8">
        <f>1350*12</f>
        <v>16200</v>
      </c>
      <c r="I40" s="8">
        <v>1350</v>
      </c>
    </row>
    <row r="41" spans="2:10" x14ac:dyDescent="0.3">
      <c r="B41">
        <v>38</v>
      </c>
      <c r="C41" t="s">
        <v>2780</v>
      </c>
      <c r="D41">
        <v>1</v>
      </c>
      <c r="E41" s="6" t="s">
        <v>2765</v>
      </c>
      <c r="F41" s="6" t="s">
        <v>2752</v>
      </c>
      <c r="H41" s="8">
        <f>1350*12</f>
        <v>16200</v>
      </c>
      <c r="I41" s="8">
        <v>1350</v>
      </c>
    </row>
    <row r="42" spans="2:10" x14ac:dyDescent="0.3">
      <c r="B42">
        <v>39</v>
      </c>
      <c r="C42" t="s">
        <v>2686</v>
      </c>
      <c r="D42">
        <v>1</v>
      </c>
      <c r="E42" s="6" t="s">
        <v>2765</v>
      </c>
      <c r="F42" s="6" t="s">
        <v>2412</v>
      </c>
      <c r="H42" s="8">
        <f>1350*6</f>
        <v>8100</v>
      </c>
      <c r="I42" s="8">
        <v>1350</v>
      </c>
    </row>
    <row r="43" spans="2:10" x14ac:dyDescent="0.3">
      <c r="B43">
        <v>40</v>
      </c>
      <c r="C43" t="s">
        <v>2455</v>
      </c>
      <c r="D43">
        <v>1</v>
      </c>
      <c r="E43" s="6" t="s">
        <v>2411</v>
      </c>
      <c r="F43" s="6" t="s">
        <v>2412</v>
      </c>
      <c r="H43" s="8">
        <f>1350*12</f>
        <v>16200</v>
      </c>
      <c r="I43" s="8">
        <v>1350</v>
      </c>
    </row>
    <row r="44" spans="2:10" x14ac:dyDescent="0.3">
      <c r="B44">
        <v>41</v>
      </c>
      <c r="C44" t="s">
        <v>2287</v>
      </c>
      <c r="D44">
        <v>1</v>
      </c>
      <c r="E44" s="6" t="s">
        <v>2506</v>
      </c>
      <c r="F44" s="6" t="s">
        <v>2507</v>
      </c>
      <c r="H44" s="8">
        <f>1350*12</f>
        <v>16200</v>
      </c>
      <c r="I44" s="8">
        <v>1350</v>
      </c>
    </row>
    <row r="45" spans="2:10" x14ac:dyDescent="0.3">
      <c r="B45">
        <v>42</v>
      </c>
      <c r="C45" t="s">
        <v>1901</v>
      </c>
      <c r="D45">
        <v>2</v>
      </c>
      <c r="E45" s="6" t="s">
        <v>2162</v>
      </c>
      <c r="F45" s="6" t="s">
        <v>2683</v>
      </c>
      <c r="H45" s="8">
        <f>1350*12</f>
        <v>16200</v>
      </c>
      <c r="I45" s="8">
        <v>1350</v>
      </c>
    </row>
    <row r="46" spans="2:10" x14ac:dyDescent="0.3">
      <c r="B46">
        <v>43</v>
      </c>
      <c r="C46" t="s">
        <v>2887</v>
      </c>
      <c r="D46">
        <v>1</v>
      </c>
      <c r="E46" s="6" t="s">
        <v>2850</v>
      </c>
      <c r="F46" s="6" t="s">
        <v>2885</v>
      </c>
      <c r="H46" s="8">
        <f>1350*12</f>
        <v>16200</v>
      </c>
      <c r="I46" s="8">
        <v>1350</v>
      </c>
    </row>
    <row r="47" spans="2:10" x14ac:dyDescent="0.3">
      <c r="D47">
        <f>SUM(D4:D46)</f>
        <v>69</v>
      </c>
      <c r="H47" s="8">
        <f>SUM(H4:H46)</f>
        <v>952440</v>
      </c>
      <c r="I47" s="8">
        <f>SUM(I4:I46)</f>
        <v>87670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80"/>
  <sheetViews>
    <sheetView topLeftCell="F64" workbookViewId="0">
      <selection activeCell="L81" sqref="L81"/>
    </sheetView>
  </sheetViews>
  <sheetFormatPr defaultRowHeight="14.4" x14ac:dyDescent="0.3"/>
  <cols>
    <col min="2" max="2" width="10.44140625" bestFit="1" customWidth="1"/>
    <col min="5" max="5" width="36.109375" customWidth="1"/>
    <col min="10" max="10" width="5.88671875" customWidth="1"/>
    <col min="11" max="11" width="12.5546875" customWidth="1"/>
    <col min="12" max="13" width="11.5546875" bestFit="1" customWidth="1"/>
    <col min="14" max="14" width="14.5546875" bestFit="1" customWidth="1"/>
    <col min="15" max="15" width="11" bestFit="1" customWidth="1"/>
    <col min="16" max="16" width="11.5546875" bestFit="1" customWidth="1"/>
  </cols>
  <sheetData>
    <row r="1" spans="2:27" x14ac:dyDescent="0.3">
      <c r="J1" s="6" t="s">
        <v>1772</v>
      </c>
      <c r="U1" s="6"/>
    </row>
    <row r="2" spans="2:27" x14ac:dyDescent="0.3">
      <c r="B2" t="s">
        <v>267</v>
      </c>
      <c r="C2" t="s">
        <v>1678</v>
      </c>
      <c r="D2" t="s">
        <v>1679</v>
      </c>
      <c r="E2" t="s">
        <v>269</v>
      </c>
      <c r="J2" t="s">
        <v>1918</v>
      </c>
    </row>
    <row r="3" spans="2:27" x14ac:dyDescent="0.3">
      <c r="B3" s="6" t="s">
        <v>1680</v>
      </c>
      <c r="C3">
        <f>40000+18000</f>
        <v>58000</v>
      </c>
      <c r="E3" s="43" t="s">
        <v>1670</v>
      </c>
      <c r="J3" t="s">
        <v>1744</v>
      </c>
      <c r="K3" t="s">
        <v>1745</v>
      </c>
      <c r="L3" t="s">
        <v>1746</v>
      </c>
      <c r="M3" t="s">
        <v>1759</v>
      </c>
      <c r="N3" t="s">
        <v>1756</v>
      </c>
      <c r="O3" t="s">
        <v>1757</v>
      </c>
      <c r="P3" t="s">
        <v>83</v>
      </c>
    </row>
    <row r="4" spans="2:27" x14ac:dyDescent="0.3">
      <c r="B4" s="6" t="s">
        <v>1671</v>
      </c>
      <c r="D4">
        <v>14600</v>
      </c>
      <c r="E4" t="s">
        <v>1672</v>
      </c>
      <c r="J4">
        <v>1</v>
      </c>
      <c r="K4" t="s">
        <v>1748</v>
      </c>
      <c r="L4">
        <v>1</v>
      </c>
      <c r="M4" s="8">
        <v>55000</v>
      </c>
      <c r="N4" s="8">
        <v>12000</v>
      </c>
      <c r="O4" s="8">
        <v>14400</v>
      </c>
      <c r="P4" s="8">
        <f>SUM(M4:O4)</f>
        <v>81400</v>
      </c>
      <c r="Q4" t="s">
        <v>1760</v>
      </c>
      <c r="X4" s="8"/>
      <c r="Y4" s="8"/>
      <c r="Z4" s="8"/>
      <c r="AA4" s="8"/>
    </row>
    <row r="5" spans="2:27" x14ac:dyDescent="0.3">
      <c r="B5" s="6" t="s">
        <v>361</v>
      </c>
      <c r="D5">
        <v>20000</v>
      </c>
      <c r="E5" t="s">
        <v>1673</v>
      </c>
      <c r="K5" t="s">
        <v>1749</v>
      </c>
      <c r="M5" s="8"/>
      <c r="N5" s="8"/>
      <c r="O5" s="8"/>
      <c r="Q5" t="s">
        <v>1761</v>
      </c>
      <c r="X5" s="8"/>
      <c r="Y5" s="8"/>
      <c r="Z5" s="8"/>
    </row>
    <row r="6" spans="2:27" x14ac:dyDescent="0.3">
      <c r="B6" s="6" t="s">
        <v>1674</v>
      </c>
      <c r="D6">
        <v>20000</v>
      </c>
      <c r="E6" t="s">
        <v>1673</v>
      </c>
      <c r="M6" s="8"/>
      <c r="N6" s="8"/>
      <c r="O6" s="8"/>
      <c r="Q6" t="s">
        <v>1754</v>
      </c>
      <c r="X6" s="8"/>
      <c r="Y6" s="8"/>
      <c r="Z6" s="8"/>
    </row>
    <row r="7" spans="2:27" x14ac:dyDescent="0.3">
      <c r="B7" s="6" t="s">
        <v>1676</v>
      </c>
      <c r="C7">
        <v>3000</v>
      </c>
      <c r="E7" t="s">
        <v>1698</v>
      </c>
      <c r="J7">
        <v>2</v>
      </c>
      <c r="K7" t="s">
        <v>1747</v>
      </c>
      <c r="L7">
        <v>1</v>
      </c>
      <c r="M7" s="8">
        <v>55000</v>
      </c>
      <c r="N7" s="8">
        <v>12000</v>
      </c>
      <c r="O7" s="8">
        <v>14400</v>
      </c>
      <c r="P7" s="8">
        <f>SUM(M7:O7)</f>
        <v>81400</v>
      </c>
      <c r="X7" s="8"/>
      <c r="Y7" s="8"/>
      <c r="Z7" s="8"/>
      <c r="AA7" s="8"/>
    </row>
    <row r="8" spans="2:27" x14ac:dyDescent="0.3">
      <c r="B8" s="6" t="s">
        <v>1694</v>
      </c>
      <c r="C8">
        <v>6000</v>
      </c>
      <c r="E8" t="s">
        <v>1698</v>
      </c>
      <c r="J8">
        <v>3</v>
      </c>
      <c r="K8" t="s">
        <v>1750</v>
      </c>
      <c r="L8">
        <v>1</v>
      </c>
      <c r="M8" s="8">
        <v>55000</v>
      </c>
      <c r="N8" s="8">
        <v>12000</v>
      </c>
      <c r="O8" s="8">
        <v>14400</v>
      </c>
      <c r="P8" s="8">
        <f>SUM(M8:O8)</f>
        <v>81400</v>
      </c>
      <c r="X8" s="8"/>
      <c r="Y8" s="8"/>
      <c r="Z8" s="8"/>
      <c r="AA8" s="8"/>
    </row>
    <row r="9" spans="2:27" x14ac:dyDescent="0.3">
      <c r="B9" s="6" t="s">
        <v>1675</v>
      </c>
      <c r="D9">
        <v>5000</v>
      </c>
      <c r="E9" t="s">
        <v>1677</v>
      </c>
      <c r="K9" t="s">
        <v>1751</v>
      </c>
      <c r="M9" s="8"/>
      <c r="N9" s="8"/>
      <c r="O9" s="8"/>
      <c r="P9" s="8"/>
      <c r="X9" s="8"/>
      <c r="Y9" s="8"/>
      <c r="Z9" s="8"/>
      <c r="AA9" s="8"/>
    </row>
    <row r="10" spans="2:27" x14ac:dyDescent="0.3">
      <c r="B10" s="6" t="s">
        <v>816</v>
      </c>
      <c r="C10">
        <f>35000+12000</f>
        <v>47000</v>
      </c>
      <c r="E10" t="s">
        <v>1681</v>
      </c>
      <c r="M10" s="8"/>
      <c r="N10" s="8"/>
      <c r="O10" s="8"/>
      <c r="P10" s="8"/>
      <c r="X10" s="8"/>
      <c r="Y10" s="8"/>
      <c r="Z10" s="8"/>
      <c r="AA10" s="8"/>
    </row>
    <row r="11" spans="2:27" x14ac:dyDescent="0.3">
      <c r="B11" s="6" t="s">
        <v>1682</v>
      </c>
      <c r="D11">
        <v>35000</v>
      </c>
      <c r="E11" t="s">
        <v>1684</v>
      </c>
      <c r="J11">
        <v>4</v>
      </c>
      <c r="K11" t="s">
        <v>1752</v>
      </c>
      <c r="L11">
        <v>1</v>
      </c>
      <c r="M11" s="8">
        <v>55000</v>
      </c>
      <c r="N11" s="8">
        <v>6000</v>
      </c>
      <c r="O11" s="8">
        <v>7200</v>
      </c>
      <c r="P11" s="8">
        <f>SUM(M11:O11)</f>
        <v>68200</v>
      </c>
      <c r="X11" s="8"/>
      <c r="Y11" s="8"/>
      <c r="Z11" s="8"/>
      <c r="AA11" s="8"/>
    </row>
    <row r="12" spans="2:27" x14ac:dyDescent="0.3">
      <c r="B12" s="6" t="s">
        <v>816</v>
      </c>
      <c r="D12">
        <v>7000</v>
      </c>
      <c r="E12" t="s">
        <v>1683</v>
      </c>
      <c r="J12">
        <v>5</v>
      </c>
      <c r="K12" t="s">
        <v>1753</v>
      </c>
      <c r="L12">
        <v>1</v>
      </c>
      <c r="M12" s="8">
        <v>55000</v>
      </c>
      <c r="N12" s="8">
        <v>12000</v>
      </c>
      <c r="O12" s="8">
        <v>14400</v>
      </c>
      <c r="P12" s="8">
        <f>SUM(M12:O12)</f>
        <v>81400</v>
      </c>
      <c r="X12" s="8"/>
      <c r="Y12" s="8"/>
      <c r="Z12" s="8"/>
      <c r="AA12" s="8"/>
    </row>
    <row r="13" spans="2:27" ht="30.75" customHeight="1" x14ac:dyDescent="0.3">
      <c r="B13" s="6" t="s">
        <v>1695</v>
      </c>
      <c r="C13">
        <v>10000</v>
      </c>
      <c r="E13" s="1" t="s">
        <v>1697</v>
      </c>
      <c r="N13" s="123" t="s">
        <v>83</v>
      </c>
      <c r="O13" s="123"/>
      <c r="P13" s="8">
        <f>SUM(P4:P12)</f>
        <v>393800</v>
      </c>
      <c r="Y13" s="123"/>
      <c r="Z13" s="123"/>
      <c r="AA13" s="8"/>
    </row>
    <row r="14" spans="2:27" ht="28.8" x14ac:dyDescent="0.3">
      <c r="B14" s="6" t="s">
        <v>1695</v>
      </c>
      <c r="C14">
        <v>7200</v>
      </c>
      <c r="E14" s="1" t="s">
        <v>1696</v>
      </c>
    </row>
    <row r="15" spans="2:27" x14ac:dyDescent="0.3">
      <c r="B15" s="6" t="s">
        <v>947</v>
      </c>
      <c r="C15">
        <v>18000</v>
      </c>
      <c r="E15" t="s">
        <v>1685</v>
      </c>
      <c r="K15" t="s">
        <v>1758</v>
      </c>
    </row>
    <row r="16" spans="2:27" x14ac:dyDescent="0.3">
      <c r="B16" s="6" t="s">
        <v>1686</v>
      </c>
      <c r="C16">
        <v>8000</v>
      </c>
      <c r="E16" t="s">
        <v>1698</v>
      </c>
      <c r="K16" t="s">
        <v>1755</v>
      </c>
    </row>
    <row r="17" spans="2:20" x14ac:dyDescent="0.3">
      <c r="B17" s="6" t="s">
        <v>1687</v>
      </c>
      <c r="D17">
        <v>30000</v>
      </c>
      <c r="E17" t="s">
        <v>1688</v>
      </c>
      <c r="K17" t="s">
        <v>1769</v>
      </c>
    </row>
    <row r="18" spans="2:20" x14ac:dyDescent="0.3">
      <c r="B18" s="6" t="s">
        <v>1689</v>
      </c>
      <c r="D18">
        <v>15000</v>
      </c>
      <c r="E18" t="s">
        <v>1690</v>
      </c>
      <c r="K18" t="s">
        <v>1762</v>
      </c>
    </row>
    <row r="19" spans="2:20" x14ac:dyDescent="0.3">
      <c r="B19" s="6" t="s">
        <v>1389</v>
      </c>
      <c r="C19">
        <v>18000</v>
      </c>
      <c r="E19" t="s">
        <v>1685</v>
      </c>
    </row>
    <row r="20" spans="2:20" x14ac:dyDescent="0.3">
      <c r="B20" s="6" t="s">
        <v>1436</v>
      </c>
      <c r="D20">
        <v>18000</v>
      </c>
      <c r="E20" t="s">
        <v>1691</v>
      </c>
      <c r="K20" t="s">
        <v>1763</v>
      </c>
      <c r="O20" t="s">
        <v>1962</v>
      </c>
      <c r="Q20" t="s">
        <v>1960</v>
      </c>
      <c r="R20" t="s">
        <v>1961</v>
      </c>
      <c r="S20" t="s">
        <v>1967</v>
      </c>
    </row>
    <row r="21" spans="2:20" x14ac:dyDescent="0.3">
      <c r="B21" s="6" t="s">
        <v>1692</v>
      </c>
      <c r="D21">
        <v>50000</v>
      </c>
      <c r="E21" t="s">
        <v>1693</v>
      </c>
      <c r="L21" t="s">
        <v>267</v>
      </c>
      <c r="M21" t="s">
        <v>4</v>
      </c>
      <c r="O21" t="s">
        <v>1963</v>
      </c>
      <c r="Q21">
        <v>1200</v>
      </c>
      <c r="R21">
        <v>12</v>
      </c>
      <c r="S21">
        <v>4</v>
      </c>
      <c r="T21">
        <f>1200*12*4</f>
        <v>57600</v>
      </c>
    </row>
    <row r="22" spans="2:20" x14ac:dyDescent="0.3">
      <c r="K22">
        <v>1</v>
      </c>
      <c r="L22" s="6" t="s">
        <v>1417</v>
      </c>
      <c r="M22" s="8">
        <v>30000</v>
      </c>
      <c r="O22" t="s">
        <v>1964</v>
      </c>
      <c r="Q22">
        <v>1000</v>
      </c>
      <c r="R22">
        <v>12</v>
      </c>
      <c r="S22">
        <v>4</v>
      </c>
      <c r="T22">
        <f>1000*12*4</f>
        <v>48000</v>
      </c>
    </row>
    <row r="23" spans="2:20" x14ac:dyDescent="0.3">
      <c r="K23">
        <v>2</v>
      </c>
      <c r="L23" s="6" t="s">
        <v>1764</v>
      </c>
      <c r="M23" s="8">
        <v>30000</v>
      </c>
      <c r="S23" t="s">
        <v>83</v>
      </c>
      <c r="T23">
        <f>T21+T22</f>
        <v>105600</v>
      </c>
    </row>
    <row r="24" spans="2:20" x14ac:dyDescent="0.3">
      <c r="K24">
        <v>3</v>
      </c>
      <c r="L24" s="6" t="s">
        <v>1529</v>
      </c>
      <c r="M24" s="8">
        <v>30000</v>
      </c>
    </row>
    <row r="25" spans="2:20" x14ac:dyDescent="0.3">
      <c r="C25">
        <f>SUM(C3:C24)</f>
        <v>175200</v>
      </c>
      <c r="D25">
        <f>SUM(D3:D24)</f>
        <v>214600</v>
      </c>
      <c r="E25">
        <f>C25-D25</f>
        <v>-39400</v>
      </c>
      <c r="K25">
        <v>4</v>
      </c>
      <c r="L25" s="87" t="s">
        <v>1771</v>
      </c>
      <c r="M25" s="8" t="s">
        <v>1765</v>
      </c>
      <c r="N25" t="s">
        <v>2029</v>
      </c>
    </row>
    <row r="26" spans="2:20" x14ac:dyDescent="0.3">
      <c r="K26">
        <v>5</v>
      </c>
      <c r="L26" s="6" t="s">
        <v>1766</v>
      </c>
      <c r="M26" s="8">
        <v>30000</v>
      </c>
    </row>
    <row r="27" spans="2:20" x14ac:dyDescent="0.3">
      <c r="K27">
        <v>6</v>
      </c>
      <c r="L27" s="6" t="s">
        <v>1655</v>
      </c>
      <c r="M27" s="8">
        <v>30000</v>
      </c>
      <c r="N27" t="s">
        <v>1770</v>
      </c>
    </row>
    <row r="28" spans="2:20" x14ac:dyDescent="0.3">
      <c r="K28">
        <v>7</v>
      </c>
      <c r="L28" s="6" t="s">
        <v>1767</v>
      </c>
      <c r="M28" s="8">
        <v>30000</v>
      </c>
    </row>
    <row r="29" spans="2:20" x14ac:dyDescent="0.3">
      <c r="K29">
        <v>8</v>
      </c>
      <c r="L29" s="6" t="s">
        <v>1768</v>
      </c>
      <c r="M29" s="8">
        <v>30000</v>
      </c>
    </row>
    <row r="30" spans="2:20" x14ac:dyDescent="0.3">
      <c r="K30">
        <v>9</v>
      </c>
      <c r="L30" s="6" t="s">
        <v>1814</v>
      </c>
      <c r="M30" s="8">
        <v>30000</v>
      </c>
    </row>
    <row r="31" spans="2:20" x14ac:dyDescent="0.3">
      <c r="K31">
        <v>10</v>
      </c>
      <c r="L31" s="6" t="s">
        <v>1836</v>
      </c>
      <c r="M31" s="8">
        <v>30000</v>
      </c>
    </row>
    <row r="32" spans="2:20" x14ac:dyDescent="0.3">
      <c r="K32">
        <v>11</v>
      </c>
      <c r="L32" s="6" t="s">
        <v>1865</v>
      </c>
      <c r="M32" s="8">
        <v>30000</v>
      </c>
    </row>
    <row r="33" spans="11:14" x14ac:dyDescent="0.3">
      <c r="K33">
        <v>12</v>
      </c>
      <c r="L33" s="6" t="s">
        <v>1906</v>
      </c>
      <c r="M33" s="8">
        <v>30000</v>
      </c>
    </row>
    <row r="34" spans="11:14" x14ac:dyDescent="0.3">
      <c r="K34">
        <v>13</v>
      </c>
      <c r="L34" s="6" t="s">
        <v>2017</v>
      </c>
      <c r="M34" s="8">
        <v>30000</v>
      </c>
    </row>
    <row r="35" spans="11:14" x14ac:dyDescent="0.3">
      <c r="L35" s="3" t="s">
        <v>83</v>
      </c>
      <c r="M35" s="57">
        <f>SUM(M22:M34)</f>
        <v>360000</v>
      </c>
    </row>
    <row r="36" spans="11:14" x14ac:dyDescent="0.3">
      <c r="K36" t="s">
        <v>2024</v>
      </c>
      <c r="M36">
        <v>105600</v>
      </c>
      <c r="N36" t="s">
        <v>2025</v>
      </c>
    </row>
    <row r="37" spans="11:14" x14ac:dyDescent="0.3">
      <c r="K37" t="s">
        <v>2027</v>
      </c>
      <c r="N37" t="s">
        <v>2026</v>
      </c>
    </row>
    <row r="39" spans="11:14" x14ac:dyDescent="0.3">
      <c r="L39" s="93" t="s">
        <v>2028</v>
      </c>
      <c r="M39" s="93">
        <f>(393800+105600)-360000</f>
        <v>139400</v>
      </c>
    </row>
    <row r="40" spans="11:14" x14ac:dyDescent="0.3">
      <c r="K40">
        <v>14</v>
      </c>
      <c r="L40" s="6" t="s">
        <v>2124</v>
      </c>
      <c r="M40" s="8">
        <v>30000</v>
      </c>
    </row>
    <row r="41" spans="11:14" x14ac:dyDescent="0.3">
      <c r="L41" t="s">
        <v>8</v>
      </c>
      <c r="M41" s="27">
        <f>M39-M40</f>
        <v>109400</v>
      </c>
    </row>
    <row r="42" spans="11:14" x14ac:dyDescent="0.3">
      <c r="L42" t="s">
        <v>2169</v>
      </c>
      <c r="M42" s="27">
        <v>12000</v>
      </c>
      <c r="N42" t="s">
        <v>2232</v>
      </c>
    </row>
    <row r="43" spans="11:14" x14ac:dyDescent="0.3">
      <c r="L43" s="108" t="s">
        <v>2170</v>
      </c>
      <c r="M43" s="109">
        <f>109400-12000</f>
        <v>97400</v>
      </c>
    </row>
    <row r="44" spans="11:14" x14ac:dyDescent="0.3">
      <c r="K44">
        <v>15</v>
      </c>
      <c r="L44" s="11" t="s">
        <v>2174</v>
      </c>
      <c r="M44" s="78">
        <v>30000</v>
      </c>
    </row>
    <row r="45" spans="11:14" x14ac:dyDescent="0.3">
      <c r="L45" t="s">
        <v>8</v>
      </c>
      <c r="M45">
        <f>99400-30000</f>
        <v>69400</v>
      </c>
    </row>
    <row r="46" spans="11:14" x14ac:dyDescent="0.3">
      <c r="L46" s="6" t="s">
        <v>2267</v>
      </c>
      <c r="M46">
        <v>20000</v>
      </c>
    </row>
    <row r="47" spans="11:14" x14ac:dyDescent="0.3">
      <c r="L47" s="6" t="s">
        <v>2273</v>
      </c>
      <c r="M47">
        <v>20000</v>
      </c>
    </row>
    <row r="48" spans="11:14" x14ac:dyDescent="0.3">
      <c r="L48" t="s">
        <v>8</v>
      </c>
      <c r="M48">
        <f>69400-40000</f>
        <v>29400</v>
      </c>
    </row>
    <row r="49" spans="11:14" x14ac:dyDescent="0.3">
      <c r="L49" s="6" t="s">
        <v>2347</v>
      </c>
      <c r="M49">
        <v>29400</v>
      </c>
      <c r="N49" t="s">
        <v>2348</v>
      </c>
    </row>
    <row r="51" spans="11:14" x14ac:dyDescent="0.3">
      <c r="L51" s="6" t="s">
        <v>2553</v>
      </c>
      <c r="M51">
        <f>12000*3</f>
        <v>36000</v>
      </c>
      <c r="N51" t="s">
        <v>2554</v>
      </c>
    </row>
    <row r="52" spans="11:14" x14ac:dyDescent="0.3">
      <c r="L52" s="6"/>
      <c r="M52">
        <f>1280*3*12</f>
        <v>46080</v>
      </c>
      <c r="N52" t="s">
        <v>2555</v>
      </c>
    </row>
    <row r="53" spans="11:14" x14ac:dyDescent="0.3">
      <c r="L53" s="6"/>
      <c r="M53">
        <f>SUM(M51:M52)</f>
        <v>82080</v>
      </c>
    </row>
    <row r="55" spans="11:14" x14ac:dyDescent="0.3">
      <c r="K55" t="s">
        <v>1705</v>
      </c>
    </row>
    <row r="56" spans="11:14" x14ac:dyDescent="0.3">
      <c r="K56" t="s">
        <v>1763</v>
      </c>
    </row>
    <row r="57" spans="11:14" x14ac:dyDescent="0.3">
      <c r="L57" t="s">
        <v>267</v>
      </c>
      <c r="M57" t="s">
        <v>4</v>
      </c>
    </row>
    <row r="58" spans="11:14" x14ac:dyDescent="0.3">
      <c r="L58" t="s">
        <v>83</v>
      </c>
      <c r="M58" s="3">
        <v>154200</v>
      </c>
      <c r="N58" t="s">
        <v>1925</v>
      </c>
    </row>
    <row r="59" spans="11:14" x14ac:dyDescent="0.3">
      <c r="K59">
        <v>1</v>
      </c>
      <c r="L59" s="6" t="s">
        <v>1706</v>
      </c>
      <c r="M59" s="8">
        <v>22000</v>
      </c>
      <c r="N59" t="s">
        <v>1919</v>
      </c>
    </row>
    <row r="60" spans="11:14" x14ac:dyDescent="0.3">
      <c r="K60">
        <v>2</v>
      </c>
      <c r="L60" s="6" t="s">
        <v>1920</v>
      </c>
      <c r="M60" s="8">
        <v>15000</v>
      </c>
    </row>
    <row r="61" spans="11:14" x14ac:dyDescent="0.3">
      <c r="K61">
        <v>3</v>
      </c>
      <c r="L61" s="6" t="s">
        <v>1720</v>
      </c>
      <c r="M61" s="8">
        <v>5000</v>
      </c>
    </row>
    <row r="62" spans="11:14" x14ac:dyDescent="0.3">
      <c r="K62">
        <v>4</v>
      </c>
      <c r="L62" s="87" t="s">
        <v>1921</v>
      </c>
      <c r="M62" s="8">
        <v>20000</v>
      </c>
    </row>
    <row r="63" spans="11:14" x14ac:dyDescent="0.3">
      <c r="K63">
        <v>5</v>
      </c>
      <c r="L63" s="6" t="s">
        <v>1922</v>
      </c>
      <c r="M63" s="8">
        <v>20000</v>
      </c>
    </row>
    <row r="64" spans="11:14" x14ac:dyDescent="0.3">
      <c r="K64">
        <v>6</v>
      </c>
      <c r="L64" s="6" t="s">
        <v>1923</v>
      </c>
      <c r="M64" s="8">
        <v>20000</v>
      </c>
    </row>
    <row r="65" spans="11:14" x14ac:dyDescent="0.3">
      <c r="K65">
        <v>7</v>
      </c>
      <c r="L65" s="6" t="s">
        <v>1924</v>
      </c>
      <c r="M65" s="8">
        <v>20000</v>
      </c>
    </row>
    <row r="66" spans="11:14" x14ac:dyDescent="0.3">
      <c r="K66">
        <v>8</v>
      </c>
      <c r="L66" s="6" t="s">
        <v>1931</v>
      </c>
      <c r="M66" s="8">
        <v>20000</v>
      </c>
    </row>
    <row r="67" spans="11:14" x14ac:dyDescent="0.3">
      <c r="L67" t="s">
        <v>467</v>
      </c>
      <c r="M67" s="27">
        <f>SUM(M59:M66)</f>
        <v>142000</v>
      </c>
    </row>
    <row r="68" spans="11:14" x14ac:dyDescent="0.3">
      <c r="L68" t="s">
        <v>1926</v>
      </c>
      <c r="M68" s="27">
        <v>1265</v>
      </c>
    </row>
    <row r="69" spans="11:14" x14ac:dyDescent="0.3">
      <c r="L69" s="3" t="s">
        <v>2045</v>
      </c>
      <c r="M69" s="57">
        <f>M58-(M67+M68)</f>
        <v>10935</v>
      </c>
    </row>
    <row r="70" spans="11:14" x14ac:dyDescent="0.3">
      <c r="L70" s="6" t="s">
        <v>1973</v>
      </c>
      <c r="M70" s="27">
        <v>16200</v>
      </c>
      <c r="N70" s="6" t="s">
        <v>2044</v>
      </c>
    </row>
    <row r="71" spans="11:14" x14ac:dyDescent="0.3">
      <c r="L71" s="45" t="s">
        <v>2046</v>
      </c>
      <c r="M71" s="95">
        <f>M69+M70</f>
        <v>27135</v>
      </c>
    </row>
    <row r="72" spans="11:14" x14ac:dyDescent="0.3">
      <c r="K72">
        <v>9</v>
      </c>
      <c r="L72" s="6" t="s">
        <v>2231</v>
      </c>
      <c r="M72">
        <v>20000</v>
      </c>
    </row>
    <row r="73" spans="11:14" x14ac:dyDescent="0.3">
      <c r="L73" t="s">
        <v>8</v>
      </c>
      <c r="M73">
        <f>27135-20000</f>
        <v>7135</v>
      </c>
    </row>
    <row r="74" spans="11:14" x14ac:dyDescent="0.3">
      <c r="L74" s="6" t="s">
        <v>2308</v>
      </c>
      <c r="M74" s="27">
        <v>16200</v>
      </c>
      <c r="N74" s="6" t="s">
        <v>2307</v>
      </c>
    </row>
    <row r="75" spans="11:14" x14ac:dyDescent="0.3">
      <c r="L75" t="s">
        <v>8</v>
      </c>
      <c r="M75">
        <f>16200+7135</f>
        <v>23335</v>
      </c>
    </row>
    <row r="76" spans="11:14" x14ac:dyDescent="0.3">
      <c r="L76" s="6" t="s">
        <v>2319</v>
      </c>
      <c r="M76">
        <v>20000</v>
      </c>
      <c r="N76" t="s">
        <v>2321</v>
      </c>
    </row>
    <row r="77" spans="11:14" x14ac:dyDescent="0.3">
      <c r="L77" t="s">
        <v>8</v>
      </c>
      <c r="M77">
        <f>23335-20000</f>
        <v>3335</v>
      </c>
    </row>
    <row r="78" spans="11:14" x14ac:dyDescent="0.3">
      <c r="L78" s="6" t="s">
        <v>2576</v>
      </c>
      <c r="M78">
        <f>1350*6</f>
        <v>8100</v>
      </c>
      <c r="N78" t="s">
        <v>2598</v>
      </c>
    </row>
    <row r="79" spans="11:14" x14ac:dyDescent="0.3">
      <c r="M79">
        <v>6000</v>
      </c>
      <c r="N79" t="s">
        <v>2599</v>
      </c>
    </row>
    <row r="80" spans="11:14" x14ac:dyDescent="0.3">
      <c r="L80" t="s">
        <v>467</v>
      </c>
      <c r="M80">
        <f>SUM(M77:M79)</f>
        <v>17435</v>
      </c>
      <c r="N80" s="6" t="s">
        <v>2600</v>
      </c>
    </row>
  </sheetData>
  <mergeCells count="2">
    <mergeCell ref="N13:O13"/>
    <mergeCell ref="Y13:Z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opLeftCell="A15" workbookViewId="0">
      <selection activeCell="N40" sqref="N40"/>
    </sheetView>
  </sheetViews>
  <sheetFormatPr defaultRowHeight="14.4" x14ac:dyDescent="0.3"/>
  <cols>
    <col min="1" max="1" width="5.88671875" bestFit="1" customWidth="1"/>
    <col min="2" max="2" width="25.109375" bestFit="1" customWidth="1"/>
    <col min="3" max="3" width="12.33203125" bestFit="1" customWidth="1"/>
    <col min="4" max="4" width="6.88671875" bestFit="1" customWidth="1"/>
    <col min="5" max="5" width="9.5546875" customWidth="1"/>
    <col min="6" max="6" width="28.109375" bestFit="1" customWidth="1"/>
    <col min="11" max="11" width="12.44140625" bestFit="1" customWidth="1"/>
    <col min="12" max="12" width="10.44140625" customWidth="1"/>
  </cols>
  <sheetData>
    <row r="1" spans="1:20" x14ac:dyDescent="0.3">
      <c r="A1" s="127" t="s">
        <v>2470</v>
      </c>
      <c r="B1" s="127"/>
      <c r="C1" s="127"/>
      <c r="D1" s="127"/>
      <c r="E1" s="127"/>
      <c r="F1" s="127"/>
    </row>
    <row r="2" spans="1:20" x14ac:dyDescent="0.3">
      <c r="A2" t="s">
        <v>1879</v>
      </c>
      <c r="B2" t="s">
        <v>1880</v>
      </c>
      <c r="C2" t="s">
        <v>1881</v>
      </c>
      <c r="D2" t="s">
        <v>1882</v>
      </c>
      <c r="E2" t="s">
        <v>83</v>
      </c>
      <c r="F2" t="s">
        <v>269</v>
      </c>
    </row>
    <row r="3" spans="1:20" x14ac:dyDescent="0.3">
      <c r="A3">
        <v>1</v>
      </c>
      <c r="B3" t="s">
        <v>1883</v>
      </c>
      <c r="C3">
        <v>1500</v>
      </c>
      <c r="D3">
        <v>3</v>
      </c>
      <c r="E3" s="8">
        <f t="shared" ref="E3:E10" si="0">C3*D3</f>
        <v>4500</v>
      </c>
      <c r="F3" t="s">
        <v>2469</v>
      </c>
      <c r="J3" t="s">
        <v>2203</v>
      </c>
    </row>
    <row r="4" spans="1:20" x14ac:dyDescent="0.3">
      <c r="A4">
        <v>2</v>
      </c>
      <c r="B4" t="s">
        <v>794</v>
      </c>
      <c r="C4">
        <v>1500</v>
      </c>
      <c r="D4">
        <v>3</v>
      </c>
      <c r="E4" s="8">
        <f t="shared" si="0"/>
        <v>4500</v>
      </c>
      <c r="F4" t="s">
        <v>2469</v>
      </c>
      <c r="J4">
        <v>1</v>
      </c>
      <c r="K4" s="6" t="s">
        <v>1846</v>
      </c>
      <c r="L4" s="8">
        <v>57000</v>
      </c>
      <c r="M4" t="s">
        <v>2192</v>
      </c>
    </row>
    <row r="5" spans="1:20" x14ac:dyDescent="0.3">
      <c r="A5">
        <v>3</v>
      </c>
      <c r="B5" t="s">
        <v>1884</v>
      </c>
      <c r="C5">
        <v>1500</v>
      </c>
      <c r="D5">
        <v>3</v>
      </c>
      <c r="E5" s="8">
        <f t="shared" si="0"/>
        <v>4500</v>
      </c>
      <c r="F5" t="s">
        <v>2469</v>
      </c>
      <c r="J5">
        <v>2</v>
      </c>
      <c r="K5" s="6" t="s">
        <v>2193</v>
      </c>
      <c r="L5" s="8">
        <v>57000</v>
      </c>
      <c r="M5" t="s">
        <v>2196</v>
      </c>
    </row>
    <row r="6" spans="1:20" x14ac:dyDescent="0.3">
      <c r="A6">
        <v>4</v>
      </c>
      <c r="B6" t="s">
        <v>1885</v>
      </c>
      <c r="C6">
        <v>1500</v>
      </c>
      <c r="D6">
        <v>3</v>
      </c>
      <c r="E6" s="8">
        <f t="shared" si="0"/>
        <v>4500</v>
      </c>
      <c r="F6" t="s">
        <v>2469</v>
      </c>
      <c r="J6">
        <v>3</v>
      </c>
      <c r="K6" s="6" t="s">
        <v>1917</v>
      </c>
      <c r="L6" s="8">
        <v>57000</v>
      </c>
      <c r="M6" t="s">
        <v>2197</v>
      </c>
    </row>
    <row r="7" spans="1:20" x14ac:dyDescent="0.3">
      <c r="A7">
        <v>5</v>
      </c>
      <c r="B7" t="s">
        <v>1886</v>
      </c>
      <c r="C7">
        <v>1500</v>
      </c>
      <c r="D7">
        <v>3</v>
      </c>
      <c r="E7" s="8">
        <f t="shared" si="0"/>
        <v>4500</v>
      </c>
      <c r="F7" t="s">
        <v>2469</v>
      </c>
      <c r="J7">
        <v>4</v>
      </c>
      <c r="K7" s="6" t="s">
        <v>2194</v>
      </c>
      <c r="L7" s="8">
        <v>57000</v>
      </c>
      <c r="M7" t="s">
        <v>2198</v>
      </c>
    </row>
    <row r="8" spans="1:20" x14ac:dyDescent="0.3">
      <c r="A8">
        <v>6</v>
      </c>
      <c r="B8" t="s">
        <v>1887</v>
      </c>
      <c r="C8">
        <v>1500</v>
      </c>
      <c r="D8">
        <v>3</v>
      </c>
      <c r="E8" s="8">
        <f t="shared" si="0"/>
        <v>4500</v>
      </c>
      <c r="F8" t="s">
        <v>2469</v>
      </c>
      <c r="J8">
        <v>5</v>
      </c>
      <c r="K8" s="6" t="s">
        <v>2195</v>
      </c>
      <c r="L8" s="8">
        <v>50000</v>
      </c>
      <c r="M8" t="s">
        <v>2204</v>
      </c>
    </row>
    <row r="9" spans="1:20" x14ac:dyDescent="0.3">
      <c r="A9">
        <v>7</v>
      </c>
      <c r="B9" t="s">
        <v>1888</v>
      </c>
      <c r="C9">
        <v>1500</v>
      </c>
      <c r="D9">
        <v>3</v>
      </c>
      <c r="E9" s="8">
        <f t="shared" si="0"/>
        <v>4500</v>
      </c>
      <c r="F9" t="s">
        <v>2469</v>
      </c>
      <c r="J9">
        <v>6</v>
      </c>
      <c r="K9" s="6" t="s">
        <v>2154</v>
      </c>
      <c r="L9" s="8">
        <v>7000</v>
      </c>
      <c r="M9" t="s">
        <v>2205</v>
      </c>
    </row>
    <row r="10" spans="1:20" x14ac:dyDescent="0.3">
      <c r="A10">
        <v>8</v>
      </c>
      <c r="B10" t="s">
        <v>1889</v>
      </c>
      <c r="C10">
        <v>1500</v>
      </c>
      <c r="D10">
        <v>3</v>
      </c>
      <c r="E10" s="8">
        <f t="shared" si="0"/>
        <v>4500</v>
      </c>
      <c r="F10" t="s">
        <v>2469</v>
      </c>
      <c r="J10">
        <v>7</v>
      </c>
      <c r="K10" s="6" t="s">
        <v>2206</v>
      </c>
      <c r="L10" s="8">
        <v>57000</v>
      </c>
      <c r="M10" t="s">
        <v>2207</v>
      </c>
    </row>
    <row r="11" spans="1:20" x14ac:dyDescent="0.3">
      <c r="A11">
        <v>9</v>
      </c>
      <c r="B11" t="s">
        <v>1890</v>
      </c>
      <c r="C11">
        <v>1500</v>
      </c>
      <c r="D11">
        <v>3</v>
      </c>
      <c r="E11" s="8">
        <f t="shared" ref="E11:E16" si="1">C11*D11</f>
        <v>4500</v>
      </c>
      <c r="F11" t="s">
        <v>2469</v>
      </c>
      <c r="K11" t="s">
        <v>2199</v>
      </c>
      <c r="L11" s="8">
        <f>57000+57000+57000+57000+50000+7000+57000</f>
        <v>342000</v>
      </c>
      <c r="M11" t="s">
        <v>2201</v>
      </c>
    </row>
    <row r="12" spans="1:20" x14ac:dyDescent="0.3">
      <c r="A12">
        <v>10</v>
      </c>
      <c r="B12" t="s">
        <v>1891</v>
      </c>
      <c r="C12">
        <v>1500</v>
      </c>
      <c r="D12">
        <v>3</v>
      </c>
      <c r="E12" s="8">
        <f t="shared" si="1"/>
        <v>4500</v>
      </c>
      <c r="F12" t="s">
        <v>2469</v>
      </c>
      <c r="K12" t="s">
        <v>2200</v>
      </c>
      <c r="L12" s="8">
        <v>456000</v>
      </c>
    </row>
    <row r="13" spans="1:20" x14ac:dyDescent="0.3">
      <c r="A13">
        <v>11</v>
      </c>
      <c r="B13" t="s">
        <v>1892</v>
      </c>
      <c r="C13">
        <v>1500</v>
      </c>
      <c r="D13">
        <v>3</v>
      </c>
      <c r="E13" s="8">
        <f t="shared" si="1"/>
        <v>4500</v>
      </c>
      <c r="F13" t="s">
        <v>2469</v>
      </c>
      <c r="K13" t="s">
        <v>2202</v>
      </c>
      <c r="L13" s="8">
        <f>L12-L11</f>
        <v>114000</v>
      </c>
    </row>
    <row r="14" spans="1:20" x14ac:dyDescent="0.3">
      <c r="A14">
        <v>12</v>
      </c>
      <c r="B14" t="s">
        <v>1893</v>
      </c>
      <c r="C14">
        <v>1500</v>
      </c>
      <c r="D14">
        <v>3</v>
      </c>
      <c r="E14" s="8">
        <f t="shared" si="1"/>
        <v>4500</v>
      </c>
      <c r="F14" t="s">
        <v>2469</v>
      </c>
      <c r="J14" s="112" t="s">
        <v>2274</v>
      </c>
      <c r="K14" s="112" t="s">
        <v>44</v>
      </c>
      <c r="L14" s="113">
        <v>38500</v>
      </c>
      <c r="M14" s="112" t="s">
        <v>2152</v>
      </c>
      <c r="N14" s="112"/>
      <c r="O14" s="112"/>
      <c r="P14" s="112"/>
      <c r="Q14" s="112"/>
      <c r="R14" s="112"/>
      <c r="S14" s="112"/>
      <c r="T14" s="112"/>
    </row>
    <row r="15" spans="1:20" x14ac:dyDescent="0.3">
      <c r="A15">
        <v>13</v>
      </c>
      <c r="B15" t="s">
        <v>1894</v>
      </c>
      <c r="C15">
        <v>1500</v>
      </c>
      <c r="D15">
        <v>3</v>
      </c>
      <c r="E15" s="8">
        <f t="shared" si="1"/>
        <v>4500</v>
      </c>
      <c r="F15" t="s">
        <v>2469</v>
      </c>
      <c r="K15" s="110" t="s">
        <v>8</v>
      </c>
      <c r="L15" s="111">
        <f>L13+L14</f>
        <v>152500</v>
      </c>
    </row>
    <row r="16" spans="1:20" x14ac:dyDescent="0.3">
      <c r="A16">
        <v>14</v>
      </c>
      <c r="B16" t="s">
        <v>2129</v>
      </c>
      <c r="C16">
        <v>1500</v>
      </c>
      <c r="D16">
        <v>3</v>
      </c>
      <c r="E16" s="8">
        <f t="shared" si="1"/>
        <v>4500</v>
      </c>
      <c r="F16" t="s">
        <v>2469</v>
      </c>
      <c r="J16">
        <v>8</v>
      </c>
      <c r="K16" s="6" t="s">
        <v>2234</v>
      </c>
      <c r="L16" s="8">
        <v>50000</v>
      </c>
      <c r="M16" t="s">
        <v>2258</v>
      </c>
    </row>
    <row r="17" spans="1:18" x14ac:dyDescent="0.3">
      <c r="B17" s="131" t="s">
        <v>83</v>
      </c>
      <c r="C17" s="131"/>
      <c r="D17" s="131"/>
      <c r="E17" s="91">
        <f>SUM(E3:E16)</f>
        <v>63000</v>
      </c>
      <c r="K17" s="110" t="s">
        <v>8</v>
      </c>
      <c r="L17" s="8">
        <f>152500-50000</f>
        <v>102500</v>
      </c>
    </row>
    <row r="18" spans="1:18" x14ac:dyDescent="0.3">
      <c r="J18" s="112" t="s">
        <v>2274</v>
      </c>
      <c r="K18" s="114" t="s">
        <v>2253</v>
      </c>
      <c r="L18" s="113">
        <f>45000+5000+6000</f>
        <v>56000</v>
      </c>
      <c r="M18" s="112" t="s">
        <v>2257</v>
      </c>
      <c r="N18" s="112"/>
      <c r="O18" s="112"/>
      <c r="P18" s="112"/>
      <c r="Q18" s="112"/>
      <c r="R18" s="112"/>
    </row>
    <row r="19" spans="1:18" x14ac:dyDescent="0.3">
      <c r="A19">
        <v>1</v>
      </c>
      <c r="B19" t="s">
        <v>1895</v>
      </c>
      <c r="C19">
        <v>1500</v>
      </c>
      <c r="D19">
        <v>3</v>
      </c>
      <c r="E19" s="8">
        <f t="shared" ref="E19" si="2">C19*D19</f>
        <v>4500</v>
      </c>
      <c r="F19" t="s">
        <v>2469</v>
      </c>
      <c r="J19">
        <v>9</v>
      </c>
      <c r="K19" s="6" t="s">
        <v>2255</v>
      </c>
      <c r="L19" s="8">
        <v>15000</v>
      </c>
      <c r="M19" t="s">
        <v>2275</v>
      </c>
    </row>
    <row r="20" spans="1:18" x14ac:dyDescent="0.3">
      <c r="A20" s="132" t="s">
        <v>2471</v>
      </c>
      <c r="B20" s="132"/>
      <c r="C20" s="132"/>
      <c r="D20" s="132"/>
      <c r="E20" s="132"/>
      <c r="F20" s="132"/>
      <c r="K20" s="24" t="s">
        <v>2202</v>
      </c>
      <c r="L20" s="115">
        <f>(102500+56000)-15000</f>
        <v>143500</v>
      </c>
    </row>
    <row r="21" spans="1:18" x14ac:dyDescent="0.3">
      <c r="J21">
        <v>10</v>
      </c>
      <c r="K21" s="6" t="s">
        <v>2280</v>
      </c>
      <c r="L21" s="8">
        <v>30000</v>
      </c>
      <c r="M21" t="s">
        <v>2275</v>
      </c>
    </row>
    <row r="22" spans="1:18" x14ac:dyDescent="0.3">
      <c r="J22">
        <v>11</v>
      </c>
      <c r="K22" s="6" t="s">
        <v>2296</v>
      </c>
      <c r="L22" s="8">
        <v>25000</v>
      </c>
      <c r="M22" t="s">
        <v>2275</v>
      </c>
    </row>
    <row r="23" spans="1:18" x14ac:dyDescent="0.3">
      <c r="J23">
        <v>12</v>
      </c>
      <c r="K23" s="6" t="s">
        <v>2333</v>
      </c>
      <c r="L23" s="8">
        <v>25000</v>
      </c>
      <c r="M23" t="s">
        <v>2275</v>
      </c>
    </row>
    <row r="24" spans="1:18" x14ac:dyDescent="0.3">
      <c r="J24">
        <v>13</v>
      </c>
      <c r="K24" s="6" t="s">
        <v>2358</v>
      </c>
      <c r="L24" s="8">
        <v>25000</v>
      </c>
      <c r="M24" t="s">
        <v>2275</v>
      </c>
    </row>
    <row r="25" spans="1:18" x14ac:dyDescent="0.3">
      <c r="K25" s="24" t="s">
        <v>2202</v>
      </c>
      <c r="L25" s="115">
        <v>38500</v>
      </c>
    </row>
    <row r="26" spans="1:18" x14ac:dyDescent="0.3">
      <c r="K26" s="6" t="s">
        <v>2380</v>
      </c>
      <c r="L26" s="8">
        <v>25000</v>
      </c>
      <c r="M26" t="s">
        <v>2275</v>
      </c>
    </row>
    <row r="27" spans="1:18" x14ac:dyDescent="0.3">
      <c r="K27" t="s">
        <v>8</v>
      </c>
      <c r="L27" s="8">
        <v>13500</v>
      </c>
    </row>
    <row r="28" spans="1:18" x14ac:dyDescent="0.3">
      <c r="K28" t="s">
        <v>2433</v>
      </c>
      <c r="L28" s="8">
        <v>40000</v>
      </c>
      <c r="M28" t="s">
        <v>2440</v>
      </c>
    </row>
    <row r="29" spans="1:18" x14ac:dyDescent="0.3">
      <c r="K29" s="6" t="s">
        <v>2434</v>
      </c>
      <c r="L29" s="8">
        <v>40000</v>
      </c>
      <c r="M29" t="s">
        <v>2435</v>
      </c>
    </row>
    <row r="30" spans="1:18" x14ac:dyDescent="0.3">
      <c r="K30" t="s">
        <v>8</v>
      </c>
      <c r="L30" s="8">
        <v>13500</v>
      </c>
    </row>
    <row r="31" spans="1:18" x14ac:dyDescent="0.3">
      <c r="K31" s="6" t="s">
        <v>2701</v>
      </c>
      <c r="L31" s="8">
        <v>10000</v>
      </c>
      <c r="M31" t="s">
        <v>2702</v>
      </c>
    </row>
    <row r="32" spans="1:18" x14ac:dyDescent="0.3">
      <c r="K32" s="6" t="s">
        <v>2714</v>
      </c>
      <c r="L32" s="8">
        <v>0</v>
      </c>
    </row>
    <row r="33" spans="11:14" x14ac:dyDescent="0.3">
      <c r="K33" s="6"/>
      <c r="L33" s="8"/>
    </row>
    <row r="34" spans="11:14" x14ac:dyDescent="0.3">
      <c r="K34" t="s">
        <v>2713</v>
      </c>
      <c r="L34" s="8">
        <f>12000*6</f>
        <v>72000</v>
      </c>
      <c r="M34" s="6" t="s">
        <v>2715</v>
      </c>
    </row>
    <row r="35" spans="11:14" x14ac:dyDescent="0.3">
      <c r="K35" s="6"/>
      <c r="L35" s="8"/>
    </row>
    <row r="37" spans="11:14" x14ac:dyDescent="0.3">
      <c r="K37" t="s">
        <v>2486</v>
      </c>
      <c r="M37">
        <v>40000</v>
      </c>
      <c r="N37" s="6" t="s">
        <v>2487</v>
      </c>
    </row>
    <row r="38" spans="11:14" x14ac:dyDescent="0.3">
      <c r="K38" t="s">
        <v>2486</v>
      </c>
      <c r="M38">
        <v>40000</v>
      </c>
      <c r="N38" s="6" t="s">
        <v>2676</v>
      </c>
    </row>
    <row r="39" spans="11:14" x14ac:dyDescent="0.3">
      <c r="K39" t="s">
        <v>2733</v>
      </c>
      <c r="M39">
        <v>75600</v>
      </c>
      <c r="N39" t="s">
        <v>2734</v>
      </c>
    </row>
    <row r="40" spans="11:14" x14ac:dyDescent="0.3">
      <c r="K40" t="s">
        <v>2486</v>
      </c>
      <c r="M40">
        <v>40000</v>
      </c>
      <c r="N40" t="s">
        <v>2852</v>
      </c>
    </row>
  </sheetData>
  <mergeCells count="3">
    <mergeCell ref="B17:D17"/>
    <mergeCell ref="A1:F1"/>
    <mergeCell ref="A20:F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Sheet4</vt:lpstr>
      <vt:lpstr>Sheet5</vt:lpstr>
      <vt:lpstr>Sheet3</vt:lpstr>
      <vt:lpstr>New Home</vt:lpstr>
      <vt:lpstr>Sheet6</vt:lpstr>
      <vt:lpstr>Client List</vt:lpstr>
      <vt:lpstr>Details</vt:lpstr>
      <vt:lpstr>VPS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2022-07-30T09:00:24Z</dcterms:modified>
</cp:coreProperties>
</file>